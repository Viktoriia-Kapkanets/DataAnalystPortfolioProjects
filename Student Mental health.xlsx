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pivotTables/pivotTable4.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hidePivotFieldList="1" defaultThemeVersion="166925"/>
  <mc:AlternateContent xmlns:mc="http://schemas.openxmlformats.org/markup-compatibility/2006">
    <mc:Choice Requires="x15">
      <x15ac:absPath xmlns:x15ac="http://schemas.microsoft.com/office/spreadsheetml/2010/11/ac" url="/Users/yancizy/Downloads/work/"/>
    </mc:Choice>
  </mc:AlternateContent>
  <xr:revisionPtr revIDLastSave="0" documentId="8_{6711D33E-C26F-404C-9BCF-85DAEEB01B2A}" xr6:coauthVersionLast="47" xr6:coauthVersionMax="47" xr10:uidLastSave="{00000000-0000-0000-0000-000000000000}"/>
  <bookViews>
    <workbookView xWindow="0" yWindow="500" windowWidth="33600" windowHeight="19620" activeTab="6" xr2:uid="{884048BF-1221-714F-B146-AC199BE9DD4A}"/>
  </bookViews>
  <sheets>
    <sheet name="Student Mental health" sheetId="2" r:id="rId1"/>
    <sheet name="Depression" sheetId="8" r:id="rId2"/>
    <sheet name="CGPA, years" sheetId="3" r:id="rId3"/>
    <sheet name="Age, gender" sheetId="5" r:id="rId4"/>
    <sheet name="Course distribution" sheetId="6" r:id="rId5"/>
    <sheet name="Mental disorders" sheetId="1" r:id="rId6"/>
    <sheet name="Dashboard" sheetId="9" r:id="rId7"/>
  </sheets>
  <definedNames>
    <definedName name="ExternalData_1" localSheetId="5" hidden="1">'Mental disorders'!$A$1:$J$102</definedName>
    <definedName name="ExternalData_1" localSheetId="0" hidden="1">'Student Mental health'!$A$1:$K$102</definedName>
    <definedName name="Slicer_Age">#N/A</definedName>
    <definedName name="Slicer_Choose_your_gender">#N/A</definedName>
    <definedName name="Slicer_Marital_status">#N/A</definedName>
    <definedName name="Slicer_Marital_status1">#N/A</definedName>
    <definedName name="Slicer_What_is_your_course?">#N/A</definedName>
    <definedName name="solver_eng" localSheetId="0" hidden="1">1</definedName>
    <definedName name="solver_lin" localSheetId="0" hidden="1">2</definedName>
    <definedName name="solver_neg" localSheetId="0" hidden="1">1</definedName>
    <definedName name="solver_num" localSheetId="0" hidden="1">0</definedName>
    <definedName name="solver_opt" localSheetId="0" hidden="1">'Student Mental health'!$A$5</definedName>
    <definedName name="solver_typ" localSheetId="0" hidden="1">1</definedName>
    <definedName name="solver_val" localSheetId="0" hidden="1">0</definedName>
    <definedName name="solver_ver" localSheetId="0" hidden="1">2</definedName>
  </definedNames>
  <calcPr calcId="191029"/>
  <pivotCaches>
    <pivotCache cacheId="98" r:id="rId8"/>
    <pivotCache cacheId="23" r:id="rId9"/>
    <pivotCache cacheId="107"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N7" i="1"/>
  <c r="N6" i="1"/>
  <c r="N4" i="1"/>
  <c r="N5" i="1"/>
  <c r="P4" i="1"/>
  <c r="O5" i="1" l="1"/>
  <c r="O4" i="1"/>
  <c r="O6" i="1"/>
  <c r="O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4F5DFD-B24B-FF41-B6A4-BD4221B7A182}" keepAlive="1" name="Query - Student Mental health" description="Connection to the 'Student Mental health' query in the workbook." type="5" refreshedVersion="8" background="1" saveData="1">
    <dbPr connection="Provider=Microsoft.Mashup.OleDb.1;Data Source=$Workbook$;Location=&quot;Student Mental health&quot;;Extended Properties=&quot;&quot;" command="SELECT * FROM [Student Mental health]"/>
  </connection>
  <connection id="2" xr16:uid="{6F706873-5B84-F746-8476-54588B9319CB}" keepAlive="1" name="Query - Student Mental health (2)" description="Connection to the 'Student Mental health (2)' query in the workbook." type="5" refreshedVersion="8" background="1" saveData="1">
    <dbPr connection="Provider=Microsoft.Mashup.OleDb.1;Data Source=$Workbook$;Location=&quot;Student Mental health (2)&quot;;Extended Properties=&quot;&quot;" command="SELECT * FROM [Student Mental health (2)]"/>
  </connection>
</connections>
</file>

<file path=xl/sharedStrings.xml><?xml version="1.0" encoding="utf-8"?>
<sst xmlns="http://schemas.openxmlformats.org/spreadsheetml/2006/main" count="1930" uniqueCount="197">
  <si>
    <t>Timestamp</t>
  </si>
  <si>
    <t>Age</t>
  </si>
  <si>
    <t>What is your course?</t>
  </si>
  <si>
    <t>Marital status</t>
  </si>
  <si>
    <t>8/7/2020 12:02</t>
  </si>
  <si>
    <t>Female</t>
  </si>
  <si>
    <t>Engineering</t>
  </si>
  <si>
    <t>3.00 - 3.49</t>
  </si>
  <si>
    <t>No</t>
  </si>
  <si>
    <t>Yes</t>
  </si>
  <si>
    <t>8/7/2020 12:04</t>
  </si>
  <si>
    <t>Male</t>
  </si>
  <si>
    <t>Islamic education</t>
  </si>
  <si>
    <t>8/7/2020 12:05</t>
  </si>
  <si>
    <t>BIT</t>
  </si>
  <si>
    <t>8/7/2020 12:06</t>
  </si>
  <si>
    <t>Laws</t>
  </si>
  <si>
    <t>8/7/2020 12:13</t>
  </si>
  <si>
    <t>Mathemathics</t>
  </si>
  <si>
    <t>8/7/2020 12:31</t>
  </si>
  <si>
    <t>3.50 - 4.00</t>
  </si>
  <si>
    <t>8/7/2020 12:32</t>
  </si>
  <si>
    <t>Pendidikan islam</t>
  </si>
  <si>
    <t xml:space="preserve">3.50 - 4.00 </t>
  </si>
  <si>
    <t>8/7/2020 12:33</t>
  </si>
  <si>
    <t>BCS</t>
  </si>
  <si>
    <t>8/7/2020 12:35</t>
  </si>
  <si>
    <t>Human Resources</t>
  </si>
  <si>
    <t>2.50 - 2.99</t>
  </si>
  <si>
    <t>8/7/2020 12:39</t>
  </si>
  <si>
    <t>Irkhs</t>
  </si>
  <si>
    <t>Psychology</t>
  </si>
  <si>
    <t>8/7/2020 12:40</t>
  </si>
  <si>
    <t>8/7/2020 12:41</t>
  </si>
  <si>
    <t>8/7/2020 12:43</t>
  </si>
  <si>
    <t>KENMS</t>
  </si>
  <si>
    <t>8/7/2020 12:46</t>
  </si>
  <si>
    <t xml:space="preserve">Accounting </t>
  </si>
  <si>
    <t>8/7/2020 12:52</t>
  </si>
  <si>
    <t>ENM</t>
  </si>
  <si>
    <t>8/7/2020 13:05</t>
  </si>
  <si>
    <t>8/7/2020 13:07</t>
  </si>
  <si>
    <t>Marine science</t>
  </si>
  <si>
    <t>8/7/2020 13:12</t>
  </si>
  <si>
    <t>8/7/2020 13:13</t>
  </si>
  <si>
    <t>KOE</t>
  </si>
  <si>
    <t>8/7/2020 13:15</t>
  </si>
  <si>
    <t>8/7/2020 13:17</t>
  </si>
  <si>
    <t>8/7/2020 13:29</t>
  </si>
  <si>
    <t>Banking Studies</t>
  </si>
  <si>
    <t>8/7/2020 13:35</t>
  </si>
  <si>
    <t>8/7/2020 13:41</t>
  </si>
  <si>
    <t>8/7/2020 13:58</t>
  </si>
  <si>
    <t>8/7/2020 14:05</t>
  </si>
  <si>
    <t>8/7/2020 14:27</t>
  </si>
  <si>
    <t>Business Administration</t>
  </si>
  <si>
    <t>8/7/2020 14:29</t>
  </si>
  <si>
    <t>8/7/2020 14:31</t>
  </si>
  <si>
    <t>8/7/2020 14:41</t>
  </si>
  <si>
    <t>8/7/2020 14:43</t>
  </si>
  <si>
    <t>2.00 - 2.49</t>
  </si>
  <si>
    <t>Law</t>
  </si>
  <si>
    <t>8/7/2020 14:45</t>
  </si>
  <si>
    <t>8/7/2020 14:47</t>
  </si>
  <si>
    <t>KIRKHS</t>
  </si>
  <si>
    <t>8/7/2020 14:56</t>
  </si>
  <si>
    <t>8/7/2020 14:57</t>
  </si>
  <si>
    <t>8/7/2020 14:58</t>
  </si>
  <si>
    <t xml:space="preserve">Usuluddin </t>
  </si>
  <si>
    <t>8/7/2020 15:07</t>
  </si>
  <si>
    <t>0 - 1.99</t>
  </si>
  <si>
    <t>8/7/2020 15:08</t>
  </si>
  <si>
    <t>TAASL</t>
  </si>
  <si>
    <t>8/7/2020 15:09</t>
  </si>
  <si>
    <t>8/7/2020 15:12</t>
  </si>
  <si>
    <t>8/7/2020 15:14</t>
  </si>
  <si>
    <t>Engine</t>
  </si>
  <si>
    <t>8/7/2020 15:18</t>
  </si>
  <si>
    <t>8/7/2020 15:27</t>
  </si>
  <si>
    <t>ALA</t>
  </si>
  <si>
    <t>8/7/2020 15:37</t>
  </si>
  <si>
    <t>8/7/2020 15:47</t>
  </si>
  <si>
    <t>Biomedical science</t>
  </si>
  <si>
    <t>8/7/2020 15:48</t>
  </si>
  <si>
    <t>koe</t>
  </si>
  <si>
    <t>8/7/2020 15:57</t>
  </si>
  <si>
    <t>8/7/2020 15:58</t>
  </si>
  <si>
    <t>8/7/2020 16:08</t>
  </si>
  <si>
    <t>Kirkhs</t>
  </si>
  <si>
    <t>8/7/2020 16:21</t>
  </si>
  <si>
    <t>BENL</t>
  </si>
  <si>
    <t>8/7/2020 16:22</t>
  </si>
  <si>
    <t>8/7/2020 16:34</t>
  </si>
  <si>
    <t>Benl</t>
  </si>
  <si>
    <t>IT</t>
  </si>
  <si>
    <t>8/7/2020 16:53</t>
  </si>
  <si>
    <t>8/7/2020 17:05</t>
  </si>
  <si>
    <t>CTS</t>
  </si>
  <si>
    <t>8/7/2020 17:37</t>
  </si>
  <si>
    <t>engin</t>
  </si>
  <si>
    <t>8/7/2020 17:46</t>
  </si>
  <si>
    <t>8/7/2020 17:50</t>
  </si>
  <si>
    <t>Econs</t>
  </si>
  <si>
    <t>8/7/2020 18:10</t>
  </si>
  <si>
    <t>8/7/2020 18:11</t>
  </si>
  <si>
    <t>MHSC</t>
  </si>
  <si>
    <t>8/7/2020 19:05</t>
  </si>
  <si>
    <t>Malcom</t>
  </si>
  <si>
    <t>8/7/2020 19:32</t>
  </si>
  <si>
    <t>Kop</t>
  </si>
  <si>
    <t>8/7/2020 20:36</t>
  </si>
  <si>
    <t>8/7/2020 21:21</t>
  </si>
  <si>
    <t>8/7/2020 22:35</t>
  </si>
  <si>
    <t>9/7/2020 6:57</t>
  </si>
  <si>
    <t>9/7/2020 11:43</t>
  </si>
  <si>
    <t>9/7/2020 11:57</t>
  </si>
  <si>
    <t>9/7/2020 13:15</t>
  </si>
  <si>
    <t>9/7/2020 18:24</t>
  </si>
  <si>
    <t xml:space="preserve">Human Sciences </t>
  </si>
  <si>
    <t>13/07/2020 10:07:32</t>
  </si>
  <si>
    <t>Biotechnology</t>
  </si>
  <si>
    <t>13/07/2020 10:10:30</t>
  </si>
  <si>
    <t>13/07/2020 10:11:26</t>
  </si>
  <si>
    <t xml:space="preserve">Communication </t>
  </si>
  <si>
    <t>13/07/2020 10:12:18</t>
  </si>
  <si>
    <t>Diploma Nursing</t>
  </si>
  <si>
    <t>13/07/2020 10:12:26</t>
  </si>
  <si>
    <t>13/07/2020 10:12:28</t>
  </si>
  <si>
    <t xml:space="preserve">Pendidikan Islam </t>
  </si>
  <si>
    <t>13/07/2020 10:14:46</t>
  </si>
  <si>
    <t>Radiography</t>
  </si>
  <si>
    <t>13/07/2020 10:33:47</t>
  </si>
  <si>
    <t>psychology</t>
  </si>
  <si>
    <t>13/07/2020 10:34:08</t>
  </si>
  <si>
    <t xml:space="preserve">Fiqh fatwa </t>
  </si>
  <si>
    <t>13/07/2020 11:46:13</t>
  </si>
  <si>
    <t>13/07/2020 11:49:02</t>
  </si>
  <si>
    <t>13/07/2020 11:54:58</t>
  </si>
  <si>
    <t>13/07/2020 13:57:11</t>
  </si>
  <si>
    <t>DIPLOMA TESL</t>
  </si>
  <si>
    <t>13/07/2020 14:38:12</t>
  </si>
  <si>
    <t>Koe</t>
  </si>
  <si>
    <t>13/07/2020 14:48:05</t>
  </si>
  <si>
    <t>13/07/2020 16:15:13</t>
  </si>
  <si>
    <t>13/07/2020 17:30:44</t>
  </si>
  <si>
    <t>Fiqh</t>
  </si>
  <si>
    <t>13/07/2020 19:08:32</t>
  </si>
  <si>
    <t>Islamic Education</t>
  </si>
  <si>
    <t>13/07/2020 19:56:49</t>
  </si>
  <si>
    <t>13/07/2020 21:21:42</t>
  </si>
  <si>
    <t>13/07/2020 21:22:56</t>
  </si>
  <si>
    <t xml:space="preserve">Nursing </t>
  </si>
  <si>
    <t>13/07/2020 21:23:57</t>
  </si>
  <si>
    <t>Pendidikan Islam</t>
  </si>
  <si>
    <t>18/07/2020 20:16:21</t>
  </si>
  <si>
    <t>Unknown</t>
  </si>
  <si>
    <t>Column Labels</t>
  </si>
  <si>
    <t>Row Labels</t>
  </si>
  <si>
    <t>Grand Total</t>
  </si>
  <si>
    <t>Gender</t>
  </si>
  <si>
    <t>Year of Study</t>
  </si>
  <si>
    <t>CGPA?</t>
  </si>
  <si>
    <t>Depression?</t>
  </si>
  <si>
    <t>Anxiety?</t>
  </si>
  <si>
    <t>Panic attack?</t>
  </si>
  <si>
    <t>Count of Do you have Depression?</t>
  </si>
  <si>
    <t>Did you seek a treatment?</t>
  </si>
  <si>
    <t>(All)</t>
  </si>
  <si>
    <t>Condition</t>
  </si>
  <si>
    <t>Quantity</t>
  </si>
  <si>
    <t>Percent</t>
  </si>
  <si>
    <t>Depression</t>
  </si>
  <si>
    <t xml:space="preserve">Anxiety   </t>
  </si>
  <si>
    <t xml:space="preserve">Panic attacks </t>
  </si>
  <si>
    <t>Seek a treatment?</t>
  </si>
  <si>
    <t xml:space="preserve">Total </t>
  </si>
  <si>
    <t>Panic attack</t>
  </si>
  <si>
    <t>Anxiety</t>
  </si>
  <si>
    <t>Course</t>
  </si>
  <si>
    <t>CGPA</t>
  </si>
  <si>
    <t>Prevalence of mental disorders</t>
  </si>
  <si>
    <t>Сourse</t>
  </si>
  <si>
    <t>Mental health</t>
  </si>
  <si>
    <t>Choose your gender</t>
  </si>
  <si>
    <t>Your current year of Study</t>
  </si>
  <si>
    <t>What is your CGPA?</t>
  </si>
  <si>
    <t>Do you have Depression?</t>
  </si>
  <si>
    <t>Do you have Anxiety?</t>
  </si>
  <si>
    <t>Do you have Panic attack?</t>
  </si>
  <si>
    <t>Did you seek any specialist for a treatment?</t>
  </si>
  <si>
    <t>year 1</t>
  </si>
  <si>
    <t>year 2</t>
  </si>
  <si>
    <t>Year 1</t>
  </si>
  <si>
    <t>year 3</t>
  </si>
  <si>
    <t>year 4</t>
  </si>
  <si>
    <t>Year 2</t>
  </si>
  <si>
    <t>Year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</si>
</sst>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2"/>
      <color theme="1"/>
      <name val="Calibri"/>
      <family val="2"/>
      <scheme val="minor"/>
    </font>
    <font>
      <b/>
      <sz val="12"/>
      <color theme="1"/>
      <name val="Calibri"/>
      <family val="2"/>
      <scheme val="minor"/>
    </font>
    <font>
      <b/>
      <sz val="16"/>
      <color theme="1"/>
      <name val="Calibri (Body)"/>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0" fontId="1" fillId="0" borderId="1" xfId="0" applyFont="1" applyBorder="1"/>
    <xf numFmtId="0" fontId="1" fillId="0" borderId="1" xfId="0" applyFont="1" applyBorder="1" applyAlignment="1">
      <alignment wrapText="1"/>
    </xf>
    <xf numFmtId="0" fontId="0" fillId="0" borderId="0" xfId="0" quotePrefix="1"/>
    <xf numFmtId="0" fontId="1" fillId="0" borderId="0" xfId="0" applyFont="1" applyBorder="1"/>
    <xf numFmtId="0" fontId="0" fillId="0" borderId="0" xfId="0" applyNumberFormat="1"/>
    <xf numFmtId="0" fontId="1" fillId="0" borderId="0" xfId="0" applyFont="1"/>
    <xf numFmtId="0" fontId="2" fillId="0" borderId="0" xfId="0" applyFont="1"/>
    <xf numFmtId="0" fontId="0" fillId="0" borderId="0" xfId="0" applyBorder="1"/>
  </cellXfs>
  <cellStyles count="1">
    <cellStyle name="Normal" xfId="0" builtinId="0"/>
  </cellStyles>
  <dxfs count="22">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800]dddd\,\ mmmm\ dd\,\ 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No</c:v>
              </c:pt>
              <c:pt idx="1">
                <c:v>Yes</c:v>
              </c:pt>
            </c:strLit>
          </c:cat>
          <c:val>
            <c:numLit>
              <c:formatCode>General</c:formatCode>
              <c:ptCount val="2"/>
              <c:pt idx="0">
                <c:v>66</c:v>
              </c:pt>
              <c:pt idx="1">
                <c:v>35</c:v>
              </c:pt>
            </c:numLit>
          </c:val>
          <c:extLst>
            <c:ext xmlns:c16="http://schemas.microsoft.com/office/drawing/2014/chart" uri="{C3380CC4-5D6E-409C-BE32-E72D297353CC}">
              <c16:uniqueId val="{00000000-09E0-2849-B4CA-B9BBDDF606C4}"/>
            </c:ext>
          </c:extLst>
        </c:ser>
        <c:dLbls>
          <c:showLegendKey val="0"/>
          <c:showVal val="0"/>
          <c:showCatName val="0"/>
          <c:showSerName val="0"/>
          <c:showPercent val="0"/>
          <c:showBubbleSize val="0"/>
        </c:dLbls>
        <c:gapWidth val="219"/>
        <c:overlap val="-27"/>
        <c:axId val="538964944"/>
        <c:axId val="538966672"/>
      </c:barChart>
      <c:catAx>
        <c:axId val="53896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538966672"/>
        <c:crosses val="autoZero"/>
        <c:auto val="1"/>
        <c:lblAlgn val="ctr"/>
        <c:lblOffset val="100"/>
        <c:noMultiLvlLbl val="0"/>
      </c:catAx>
      <c:valAx>
        <c:axId val="53896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53896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Mental health.xlsx]CGPA, years!PivotTable1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171341017939767E-2"/>
          <c:y val="7.407407407407407E-2"/>
          <c:w val="0.91893426820358792"/>
          <c:h val="0.713610746573345"/>
        </c:manualLayout>
      </c:layout>
      <c:barChart>
        <c:barDir val="col"/>
        <c:grouping val="clustered"/>
        <c:varyColors val="0"/>
        <c:ser>
          <c:idx val="0"/>
          <c:order val="0"/>
          <c:tx>
            <c:strRef>
              <c:f>'CGPA, years'!$B$3:$B$4</c:f>
              <c:strCache>
                <c:ptCount val="1"/>
                <c:pt idx="0">
                  <c:v>1</c:v>
                </c:pt>
              </c:strCache>
            </c:strRef>
          </c:tx>
          <c:spPr>
            <a:solidFill>
              <a:schemeClr val="accent1"/>
            </a:solidFill>
            <a:ln>
              <a:noFill/>
            </a:ln>
            <a:effectLst/>
          </c:spPr>
          <c:invertIfNegative val="0"/>
          <c:cat>
            <c:multiLvlStrRef>
              <c:f>'CGPA, years'!$A$5:$A$35</c:f>
              <c:multiLvlStrCache>
                <c:ptCount val="23"/>
                <c:lvl>
                  <c:pt idx="0">
                    <c:v>0 - 1.99</c:v>
                  </c:pt>
                  <c:pt idx="1">
                    <c:v>2.00 - 2.49</c:v>
                  </c:pt>
                  <c:pt idx="2">
                    <c:v>3.00 - 3.49</c:v>
                  </c:pt>
                  <c:pt idx="3">
                    <c:v>3.50 - 4.00</c:v>
                  </c:pt>
                  <c:pt idx="4">
                    <c:v>0 - 1.99</c:v>
                  </c:pt>
                  <c:pt idx="5">
                    <c:v>2.50 - 2.99</c:v>
                  </c:pt>
                  <c:pt idx="6">
                    <c:v>3.00 - 3.49</c:v>
                  </c:pt>
                  <c:pt idx="7">
                    <c:v>3.50 - 4.00</c:v>
                  </c:pt>
                  <c:pt idx="8">
                    <c:v>3.00 - 3.49</c:v>
                  </c:pt>
                  <c:pt idx="9">
                    <c:v>3.50 - 4.00</c:v>
                  </c:pt>
                  <c:pt idx="10">
                    <c:v>3.00 - 3.49</c:v>
                  </c:pt>
                  <c:pt idx="11">
                    <c:v>3.50 - 4.00</c:v>
                  </c:pt>
                  <c:pt idx="12">
                    <c:v>3.00 - 3.49</c:v>
                  </c:pt>
                  <c:pt idx="13">
                    <c:v>3.50 - 4.00</c:v>
                  </c:pt>
                  <c:pt idx="14">
                    <c:v>2.50 - 2.99</c:v>
                  </c:pt>
                  <c:pt idx="15">
                    <c:v>3.00 - 3.49</c:v>
                  </c:pt>
                  <c:pt idx="16">
                    <c:v>3.50 - 4.00</c:v>
                  </c:pt>
                  <c:pt idx="17">
                    <c:v>3.50 - 4.00 </c:v>
                  </c:pt>
                  <c:pt idx="18">
                    <c:v>0 - 1.99</c:v>
                  </c:pt>
                  <c:pt idx="19">
                    <c:v>2.00 - 2.49</c:v>
                  </c:pt>
                  <c:pt idx="20">
                    <c:v>2.50 - 2.99</c:v>
                  </c:pt>
                  <c:pt idx="21">
                    <c:v>3.00 - 3.49</c:v>
                  </c:pt>
                  <c:pt idx="22">
                    <c:v>3.50 - 4.00</c:v>
                  </c:pt>
                </c:lvl>
                <c:lvl>
                  <c:pt idx="0">
                    <c:v>18</c:v>
                  </c:pt>
                  <c:pt idx="4">
                    <c:v>19</c:v>
                  </c:pt>
                  <c:pt idx="8">
                    <c:v>20</c:v>
                  </c:pt>
                  <c:pt idx="10">
                    <c:v>21</c:v>
                  </c:pt>
                  <c:pt idx="12">
                    <c:v>22</c:v>
                  </c:pt>
                  <c:pt idx="14">
                    <c:v>23</c:v>
                  </c:pt>
                  <c:pt idx="18">
                    <c:v>24</c:v>
                  </c:pt>
                </c:lvl>
              </c:multiLvlStrCache>
            </c:multiLvlStrRef>
          </c:cat>
          <c:val>
            <c:numRef>
              <c:f>'CGPA, years'!$B$5:$B$35</c:f>
              <c:numCache>
                <c:formatCode>General</c:formatCode>
                <c:ptCount val="23"/>
                <c:pt idx="0">
                  <c:v>1</c:v>
                </c:pt>
                <c:pt idx="1">
                  <c:v>1</c:v>
                </c:pt>
                <c:pt idx="2">
                  <c:v>3</c:v>
                </c:pt>
                <c:pt idx="3">
                  <c:v>11</c:v>
                </c:pt>
                <c:pt idx="5">
                  <c:v>1</c:v>
                </c:pt>
                <c:pt idx="6">
                  <c:v>5</c:v>
                </c:pt>
                <c:pt idx="7">
                  <c:v>5</c:v>
                </c:pt>
                <c:pt idx="9">
                  <c:v>1</c:v>
                </c:pt>
                <c:pt idx="10">
                  <c:v>1</c:v>
                </c:pt>
                <c:pt idx="11">
                  <c:v>1</c:v>
                </c:pt>
                <c:pt idx="14">
                  <c:v>1</c:v>
                </c:pt>
                <c:pt idx="15">
                  <c:v>3</c:v>
                </c:pt>
                <c:pt idx="16">
                  <c:v>1</c:v>
                </c:pt>
                <c:pt idx="21">
                  <c:v>3</c:v>
                </c:pt>
                <c:pt idx="22">
                  <c:v>4</c:v>
                </c:pt>
              </c:numCache>
            </c:numRef>
          </c:val>
          <c:extLst>
            <c:ext xmlns:c16="http://schemas.microsoft.com/office/drawing/2014/chart" uri="{C3380CC4-5D6E-409C-BE32-E72D297353CC}">
              <c16:uniqueId val="{00000009-06DE-274D-99AC-9EE1A58DA4CA}"/>
            </c:ext>
          </c:extLst>
        </c:ser>
        <c:ser>
          <c:idx val="1"/>
          <c:order val="1"/>
          <c:tx>
            <c:strRef>
              <c:f>'CGPA, years'!$C$3:$C$4</c:f>
              <c:strCache>
                <c:ptCount val="1"/>
                <c:pt idx="0">
                  <c:v>2</c:v>
                </c:pt>
              </c:strCache>
            </c:strRef>
          </c:tx>
          <c:spPr>
            <a:solidFill>
              <a:schemeClr val="accent2"/>
            </a:solidFill>
            <a:ln>
              <a:noFill/>
            </a:ln>
            <a:effectLst/>
          </c:spPr>
          <c:invertIfNegative val="0"/>
          <c:cat>
            <c:multiLvlStrRef>
              <c:f>'CGPA, years'!$A$5:$A$35</c:f>
              <c:multiLvlStrCache>
                <c:ptCount val="23"/>
                <c:lvl>
                  <c:pt idx="0">
                    <c:v>0 - 1.99</c:v>
                  </c:pt>
                  <c:pt idx="1">
                    <c:v>2.00 - 2.49</c:v>
                  </c:pt>
                  <c:pt idx="2">
                    <c:v>3.00 - 3.49</c:v>
                  </c:pt>
                  <c:pt idx="3">
                    <c:v>3.50 - 4.00</c:v>
                  </c:pt>
                  <c:pt idx="4">
                    <c:v>0 - 1.99</c:v>
                  </c:pt>
                  <c:pt idx="5">
                    <c:v>2.50 - 2.99</c:v>
                  </c:pt>
                  <c:pt idx="6">
                    <c:v>3.00 - 3.49</c:v>
                  </c:pt>
                  <c:pt idx="7">
                    <c:v>3.50 - 4.00</c:v>
                  </c:pt>
                  <c:pt idx="8">
                    <c:v>3.00 - 3.49</c:v>
                  </c:pt>
                  <c:pt idx="9">
                    <c:v>3.50 - 4.00</c:v>
                  </c:pt>
                  <c:pt idx="10">
                    <c:v>3.00 - 3.49</c:v>
                  </c:pt>
                  <c:pt idx="11">
                    <c:v>3.50 - 4.00</c:v>
                  </c:pt>
                  <c:pt idx="12">
                    <c:v>3.00 - 3.49</c:v>
                  </c:pt>
                  <c:pt idx="13">
                    <c:v>3.50 - 4.00</c:v>
                  </c:pt>
                  <c:pt idx="14">
                    <c:v>2.50 - 2.99</c:v>
                  </c:pt>
                  <c:pt idx="15">
                    <c:v>3.00 - 3.49</c:v>
                  </c:pt>
                  <c:pt idx="16">
                    <c:v>3.50 - 4.00</c:v>
                  </c:pt>
                  <c:pt idx="17">
                    <c:v>3.50 - 4.00 </c:v>
                  </c:pt>
                  <c:pt idx="18">
                    <c:v>0 - 1.99</c:v>
                  </c:pt>
                  <c:pt idx="19">
                    <c:v>2.00 - 2.49</c:v>
                  </c:pt>
                  <c:pt idx="20">
                    <c:v>2.50 - 2.99</c:v>
                  </c:pt>
                  <c:pt idx="21">
                    <c:v>3.00 - 3.49</c:v>
                  </c:pt>
                  <c:pt idx="22">
                    <c:v>3.50 - 4.00</c:v>
                  </c:pt>
                </c:lvl>
                <c:lvl>
                  <c:pt idx="0">
                    <c:v>18</c:v>
                  </c:pt>
                  <c:pt idx="4">
                    <c:v>19</c:v>
                  </c:pt>
                  <c:pt idx="8">
                    <c:v>20</c:v>
                  </c:pt>
                  <c:pt idx="10">
                    <c:v>21</c:v>
                  </c:pt>
                  <c:pt idx="12">
                    <c:v>22</c:v>
                  </c:pt>
                  <c:pt idx="14">
                    <c:v>23</c:v>
                  </c:pt>
                  <c:pt idx="18">
                    <c:v>24</c:v>
                  </c:pt>
                </c:lvl>
              </c:multiLvlStrCache>
            </c:multiLvlStrRef>
          </c:cat>
          <c:val>
            <c:numRef>
              <c:f>'CGPA, years'!$C$5:$C$35</c:f>
              <c:numCache>
                <c:formatCode>General</c:formatCode>
                <c:ptCount val="23"/>
                <c:pt idx="2">
                  <c:v>6</c:v>
                </c:pt>
                <c:pt idx="3">
                  <c:v>4</c:v>
                </c:pt>
                <c:pt idx="5">
                  <c:v>1</c:v>
                </c:pt>
                <c:pt idx="6">
                  <c:v>2</c:v>
                </c:pt>
                <c:pt idx="7">
                  <c:v>1</c:v>
                </c:pt>
                <c:pt idx="8">
                  <c:v>2</c:v>
                </c:pt>
                <c:pt idx="9">
                  <c:v>1</c:v>
                </c:pt>
                <c:pt idx="10">
                  <c:v>1</c:v>
                </c:pt>
                <c:pt idx="15">
                  <c:v>1</c:v>
                </c:pt>
                <c:pt idx="16">
                  <c:v>1</c:v>
                </c:pt>
                <c:pt idx="17">
                  <c:v>1</c:v>
                </c:pt>
                <c:pt idx="19">
                  <c:v>1</c:v>
                </c:pt>
                <c:pt idx="20">
                  <c:v>1</c:v>
                </c:pt>
                <c:pt idx="21">
                  <c:v>1</c:v>
                </c:pt>
                <c:pt idx="22">
                  <c:v>2</c:v>
                </c:pt>
              </c:numCache>
            </c:numRef>
          </c:val>
          <c:extLst>
            <c:ext xmlns:c16="http://schemas.microsoft.com/office/drawing/2014/chart" uri="{C3380CC4-5D6E-409C-BE32-E72D297353CC}">
              <c16:uniqueId val="{0000000A-06DE-274D-99AC-9EE1A58DA4CA}"/>
            </c:ext>
          </c:extLst>
        </c:ser>
        <c:ser>
          <c:idx val="2"/>
          <c:order val="2"/>
          <c:tx>
            <c:strRef>
              <c:f>'CGPA, years'!$D$3:$D$4</c:f>
              <c:strCache>
                <c:ptCount val="1"/>
                <c:pt idx="0">
                  <c:v>3</c:v>
                </c:pt>
              </c:strCache>
            </c:strRef>
          </c:tx>
          <c:spPr>
            <a:solidFill>
              <a:schemeClr val="accent3"/>
            </a:solidFill>
            <a:ln>
              <a:noFill/>
            </a:ln>
            <a:effectLst/>
          </c:spPr>
          <c:invertIfNegative val="0"/>
          <c:cat>
            <c:multiLvlStrRef>
              <c:f>'CGPA, years'!$A$5:$A$35</c:f>
              <c:multiLvlStrCache>
                <c:ptCount val="23"/>
                <c:lvl>
                  <c:pt idx="0">
                    <c:v>0 - 1.99</c:v>
                  </c:pt>
                  <c:pt idx="1">
                    <c:v>2.00 - 2.49</c:v>
                  </c:pt>
                  <c:pt idx="2">
                    <c:v>3.00 - 3.49</c:v>
                  </c:pt>
                  <c:pt idx="3">
                    <c:v>3.50 - 4.00</c:v>
                  </c:pt>
                  <c:pt idx="4">
                    <c:v>0 - 1.99</c:v>
                  </c:pt>
                  <c:pt idx="5">
                    <c:v>2.50 - 2.99</c:v>
                  </c:pt>
                  <c:pt idx="6">
                    <c:v>3.00 - 3.49</c:v>
                  </c:pt>
                  <c:pt idx="7">
                    <c:v>3.50 - 4.00</c:v>
                  </c:pt>
                  <c:pt idx="8">
                    <c:v>3.00 - 3.49</c:v>
                  </c:pt>
                  <c:pt idx="9">
                    <c:v>3.50 - 4.00</c:v>
                  </c:pt>
                  <c:pt idx="10">
                    <c:v>3.00 - 3.49</c:v>
                  </c:pt>
                  <c:pt idx="11">
                    <c:v>3.50 - 4.00</c:v>
                  </c:pt>
                  <c:pt idx="12">
                    <c:v>3.00 - 3.49</c:v>
                  </c:pt>
                  <c:pt idx="13">
                    <c:v>3.50 - 4.00</c:v>
                  </c:pt>
                  <c:pt idx="14">
                    <c:v>2.50 - 2.99</c:v>
                  </c:pt>
                  <c:pt idx="15">
                    <c:v>3.00 - 3.49</c:v>
                  </c:pt>
                  <c:pt idx="16">
                    <c:v>3.50 - 4.00</c:v>
                  </c:pt>
                  <c:pt idx="17">
                    <c:v>3.50 - 4.00 </c:v>
                  </c:pt>
                  <c:pt idx="18">
                    <c:v>0 - 1.99</c:v>
                  </c:pt>
                  <c:pt idx="19">
                    <c:v>2.00 - 2.49</c:v>
                  </c:pt>
                  <c:pt idx="20">
                    <c:v>2.50 - 2.99</c:v>
                  </c:pt>
                  <c:pt idx="21">
                    <c:v>3.00 - 3.49</c:v>
                  </c:pt>
                  <c:pt idx="22">
                    <c:v>3.50 - 4.00</c:v>
                  </c:pt>
                </c:lvl>
                <c:lvl>
                  <c:pt idx="0">
                    <c:v>18</c:v>
                  </c:pt>
                  <c:pt idx="4">
                    <c:v>19</c:v>
                  </c:pt>
                  <c:pt idx="8">
                    <c:v>20</c:v>
                  </c:pt>
                  <c:pt idx="10">
                    <c:v>21</c:v>
                  </c:pt>
                  <c:pt idx="12">
                    <c:v>22</c:v>
                  </c:pt>
                  <c:pt idx="14">
                    <c:v>23</c:v>
                  </c:pt>
                  <c:pt idx="18">
                    <c:v>24</c:v>
                  </c:pt>
                </c:lvl>
              </c:multiLvlStrCache>
            </c:multiLvlStrRef>
          </c:cat>
          <c:val>
            <c:numRef>
              <c:f>'CGPA, years'!$D$5:$D$35</c:f>
              <c:numCache>
                <c:formatCode>General</c:formatCode>
                <c:ptCount val="23"/>
                <c:pt idx="2">
                  <c:v>3</c:v>
                </c:pt>
                <c:pt idx="3">
                  <c:v>1</c:v>
                </c:pt>
                <c:pt idx="4">
                  <c:v>1</c:v>
                </c:pt>
                <c:pt idx="6">
                  <c:v>4</c:v>
                </c:pt>
                <c:pt idx="7">
                  <c:v>1</c:v>
                </c:pt>
                <c:pt idx="8">
                  <c:v>2</c:v>
                </c:pt>
                <c:pt idx="12">
                  <c:v>1</c:v>
                </c:pt>
                <c:pt idx="16">
                  <c:v>3</c:v>
                </c:pt>
                <c:pt idx="18">
                  <c:v>1</c:v>
                </c:pt>
                <c:pt idx="21">
                  <c:v>2</c:v>
                </c:pt>
                <c:pt idx="22">
                  <c:v>5</c:v>
                </c:pt>
              </c:numCache>
            </c:numRef>
          </c:val>
          <c:extLst>
            <c:ext xmlns:c16="http://schemas.microsoft.com/office/drawing/2014/chart" uri="{C3380CC4-5D6E-409C-BE32-E72D297353CC}">
              <c16:uniqueId val="{0000000B-06DE-274D-99AC-9EE1A58DA4CA}"/>
            </c:ext>
          </c:extLst>
        </c:ser>
        <c:ser>
          <c:idx val="3"/>
          <c:order val="3"/>
          <c:tx>
            <c:strRef>
              <c:f>'CGPA, years'!$E$3:$E$4</c:f>
              <c:strCache>
                <c:ptCount val="1"/>
                <c:pt idx="0">
                  <c:v>4</c:v>
                </c:pt>
              </c:strCache>
            </c:strRef>
          </c:tx>
          <c:spPr>
            <a:solidFill>
              <a:schemeClr val="accent4"/>
            </a:solidFill>
            <a:ln>
              <a:noFill/>
            </a:ln>
            <a:effectLst/>
          </c:spPr>
          <c:invertIfNegative val="0"/>
          <c:cat>
            <c:multiLvlStrRef>
              <c:f>'CGPA, years'!$A$5:$A$35</c:f>
              <c:multiLvlStrCache>
                <c:ptCount val="23"/>
                <c:lvl>
                  <c:pt idx="0">
                    <c:v>0 - 1.99</c:v>
                  </c:pt>
                  <c:pt idx="1">
                    <c:v>2.00 - 2.49</c:v>
                  </c:pt>
                  <c:pt idx="2">
                    <c:v>3.00 - 3.49</c:v>
                  </c:pt>
                  <c:pt idx="3">
                    <c:v>3.50 - 4.00</c:v>
                  </c:pt>
                  <c:pt idx="4">
                    <c:v>0 - 1.99</c:v>
                  </c:pt>
                  <c:pt idx="5">
                    <c:v>2.50 - 2.99</c:v>
                  </c:pt>
                  <c:pt idx="6">
                    <c:v>3.00 - 3.49</c:v>
                  </c:pt>
                  <c:pt idx="7">
                    <c:v>3.50 - 4.00</c:v>
                  </c:pt>
                  <c:pt idx="8">
                    <c:v>3.00 - 3.49</c:v>
                  </c:pt>
                  <c:pt idx="9">
                    <c:v>3.50 - 4.00</c:v>
                  </c:pt>
                  <c:pt idx="10">
                    <c:v>3.00 - 3.49</c:v>
                  </c:pt>
                  <c:pt idx="11">
                    <c:v>3.50 - 4.00</c:v>
                  </c:pt>
                  <c:pt idx="12">
                    <c:v>3.00 - 3.49</c:v>
                  </c:pt>
                  <c:pt idx="13">
                    <c:v>3.50 - 4.00</c:v>
                  </c:pt>
                  <c:pt idx="14">
                    <c:v>2.50 - 2.99</c:v>
                  </c:pt>
                  <c:pt idx="15">
                    <c:v>3.00 - 3.49</c:v>
                  </c:pt>
                  <c:pt idx="16">
                    <c:v>3.50 - 4.00</c:v>
                  </c:pt>
                  <c:pt idx="17">
                    <c:v>3.50 - 4.00 </c:v>
                  </c:pt>
                  <c:pt idx="18">
                    <c:v>0 - 1.99</c:v>
                  </c:pt>
                  <c:pt idx="19">
                    <c:v>2.00 - 2.49</c:v>
                  </c:pt>
                  <c:pt idx="20">
                    <c:v>2.50 - 2.99</c:v>
                  </c:pt>
                  <c:pt idx="21">
                    <c:v>3.00 - 3.49</c:v>
                  </c:pt>
                  <c:pt idx="22">
                    <c:v>3.50 - 4.00</c:v>
                  </c:pt>
                </c:lvl>
                <c:lvl>
                  <c:pt idx="0">
                    <c:v>18</c:v>
                  </c:pt>
                  <c:pt idx="4">
                    <c:v>19</c:v>
                  </c:pt>
                  <c:pt idx="8">
                    <c:v>20</c:v>
                  </c:pt>
                  <c:pt idx="10">
                    <c:v>21</c:v>
                  </c:pt>
                  <c:pt idx="12">
                    <c:v>22</c:v>
                  </c:pt>
                  <c:pt idx="14">
                    <c:v>23</c:v>
                  </c:pt>
                  <c:pt idx="18">
                    <c:v>24</c:v>
                  </c:pt>
                </c:lvl>
              </c:multiLvlStrCache>
            </c:multiLvlStrRef>
          </c:cat>
          <c:val>
            <c:numRef>
              <c:f>'CGPA, years'!$E$5:$E$35</c:f>
              <c:numCache>
                <c:formatCode>General</c:formatCode>
                <c:ptCount val="23"/>
                <c:pt idx="3">
                  <c:v>2</c:v>
                </c:pt>
                <c:pt idx="13">
                  <c:v>1</c:v>
                </c:pt>
                <c:pt idx="15">
                  <c:v>1</c:v>
                </c:pt>
                <c:pt idx="16">
                  <c:v>1</c:v>
                </c:pt>
                <c:pt idx="21">
                  <c:v>2</c:v>
                </c:pt>
                <c:pt idx="22">
                  <c:v>1</c:v>
                </c:pt>
              </c:numCache>
            </c:numRef>
          </c:val>
          <c:extLst>
            <c:ext xmlns:c16="http://schemas.microsoft.com/office/drawing/2014/chart" uri="{C3380CC4-5D6E-409C-BE32-E72D297353CC}">
              <c16:uniqueId val="{0000000C-06DE-274D-99AC-9EE1A58DA4CA}"/>
            </c:ext>
          </c:extLst>
        </c:ser>
        <c:dLbls>
          <c:showLegendKey val="0"/>
          <c:showVal val="0"/>
          <c:showCatName val="0"/>
          <c:showSerName val="0"/>
          <c:showPercent val="0"/>
          <c:showBubbleSize val="0"/>
        </c:dLbls>
        <c:gapWidth val="219"/>
        <c:overlap val="-27"/>
        <c:axId val="259206847"/>
        <c:axId val="256000927"/>
      </c:barChart>
      <c:catAx>
        <c:axId val="25920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56000927"/>
        <c:crosses val="autoZero"/>
        <c:auto val="1"/>
        <c:lblAlgn val="ctr"/>
        <c:lblOffset val="100"/>
        <c:noMultiLvlLbl val="0"/>
      </c:catAx>
      <c:valAx>
        <c:axId val="25600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5920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Mental health.xlsx]Age, gender!PivotTable3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gender'!$B$3</c:f>
              <c:strCache>
                <c:ptCount val="1"/>
                <c:pt idx="0">
                  <c:v>Depression</c:v>
                </c:pt>
              </c:strCache>
            </c:strRef>
          </c:tx>
          <c:spPr>
            <a:solidFill>
              <a:schemeClr val="accent1"/>
            </a:solidFill>
            <a:ln>
              <a:noFill/>
            </a:ln>
            <a:effectLst/>
          </c:spPr>
          <c:invertIfNegative val="0"/>
          <c:cat>
            <c:strRef>
              <c:f>'Age, gender'!$A$4:$A$11</c:f>
              <c:strCache>
                <c:ptCount val="7"/>
                <c:pt idx="0">
                  <c:v>18</c:v>
                </c:pt>
                <c:pt idx="1">
                  <c:v>19</c:v>
                </c:pt>
                <c:pt idx="2">
                  <c:v>20</c:v>
                </c:pt>
                <c:pt idx="3">
                  <c:v>21</c:v>
                </c:pt>
                <c:pt idx="4">
                  <c:v>22</c:v>
                </c:pt>
                <c:pt idx="5">
                  <c:v>23</c:v>
                </c:pt>
                <c:pt idx="6">
                  <c:v>24</c:v>
                </c:pt>
              </c:strCache>
            </c:strRef>
          </c:cat>
          <c:val>
            <c:numRef>
              <c:f>'Age, gender'!$B$4:$B$11</c:f>
              <c:numCache>
                <c:formatCode>General</c:formatCode>
                <c:ptCount val="7"/>
                <c:pt idx="0">
                  <c:v>32</c:v>
                </c:pt>
                <c:pt idx="1">
                  <c:v>21</c:v>
                </c:pt>
                <c:pt idx="2">
                  <c:v>6</c:v>
                </c:pt>
                <c:pt idx="3">
                  <c:v>3</c:v>
                </c:pt>
                <c:pt idx="4">
                  <c:v>2</c:v>
                </c:pt>
                <c:pt idx="5">
                  <c:v>13</c:v>
                </c:pt>
                <c:pt idx="6">
                  <c:v>23</c:v>
                </c:pt>
              </c:numCache>
            </c:numRef>
          </c:val>
          <c:extLst>
            <c:ext xmlns:c16="http://schemas.microsoft.com/office/drawing/2014/chart" uri="{C3380CC4-5D6E-409C-BE32-E72D297353CC}">
              <c16:uniqueId val="{0000000A-B31E-074D-B4D2-D01F3B0F7E3B}"/>
            </c:ext>
          </c:extLst>
        </c:ser>
        <c:ser>
          <c:idx val="1"/>
          <c:order val="1"/>
          <c:tx>
            <c:strRef>
              <c:f>'Age, gender'!$C$3</c:f>
              <c:strCache>
                <c:ptCount val="1"/>
                <c:pt idx="0">
                  <c:v>Anxiety</c:v>
                </c:pt>
              </c:strCache>
            </c:strRef>
          </c:tx>
          <c:spPr>
            <a:solidFill>
              <a:schemeClr val="accent2"/>
            </a:solidFill>
            <a:ln>
              <a:noFill/>
            </a:ln>
            <a:effectLst/>
          </c:spPr>
          <c:invertIfNegative val="0"/>
          <c:cat>
            <c:strRef>
              <c:f>'Age, gender'!$A$4:$A$11</c:f>
              <c:strCache>
                <c:ptCount val="7"/>
                <c:pt idx="0">
                  <c:v>18</c:v>
                </c:pt>
                <c:pt idx="1">
                  <c:v>19</c:v>
                </c:pt>
                <c:pt idx="2">
                  <c:v>20</c:v>
                </c:pt>
                <c:pt idx="3">
                  <c:v>21</c:v>
                </c:pt>
                <c:pt idx="4">
                  <c:v>22</c:v>
                </c:pt>
                <c:pt idx="5">
                  <c:v>23</c:v>
                </c:pt>
                <c:pt idx="6">
                  <c:v>24</c:v>
                </c:pt>
              </c:strCache>
            </c:strRef>
          </c:cat>
          <c:val>
            <c:numRef>
              <c:f>'Age, gender'!$C$4:$C$11</c:f>
              <c:numCache>
                <c:formatCode>General</c:formatCode>
                <c:ptCount val="7"/>
                <c:pt idx="0">
                  <c:v>32</c:v>
                </c:pt>
                <c:pt idx="1">
                  <c:v>21</c:v>
                </c:pt>
                <c:pt idx="2">
                  <c:v>6</c:v>
                </c:pt>
                <c:pt idx="3">
                  <c:v>3</c:v>
                </c:pt>
                <c:pt idx="4">
                  <c:v>2</c:v>
                </c:pt>
                <c:pt idx="5">
                  <c:v>13</c:v>
                </c:pt>
                <c:pt idx="6">
                  <c:v>23</c:v>
                </c:pt>
              </c:numCache>
            </c:numRef>
          </c:val>
          <c:extLst>
            <c:ext xmlns:c16="http://schemas.microsoft.com/office/drawing/2014/chart" uri="{C3380CC4-5D6E-409C-BE32-E72D297353CC}">
              <c16:uniqueId val="{0000000B-B31E-074D-B4D2-D01F3B0F7E3B}"/>
            </c:ext>
          </c:extLst>
        </c:ser>
        <c:ser>
          <c:idx val="2"/>
          <c:order val="2"/>
          <c:tx>
            <c:strRef>
              <c:f>'Age, gender'!$D$3</c:f>
              <c:strCache>
                <c:ptCount val="1"/>
                <c:pt idx="0">
                  <c:v>Panic attack</c:v>
                </c:pt>
              </c:strCache>
            </c:strRef>
          </c:tx>
          <c:spPr>
            <a:solidFill>
              <a:schemeClr val="accent3"/>
            </a:solidFill>
            <a:ln>
              <a:noFill/>
            </a:ln>
            <a:effectLst/>
          </c:spPr>
          <c:invertIfNegative val="0"/>
          <c:cat>
            <c:strRef>
              <c:f>'Age, gender'!$A$4:$A$11</c:f>
              <c:strCache>
                <c:ptCount val="7"/>
                <c:pt idx="0">
                  <c:v>18</c:v>
                </c:pt>
                <c:pt idx="1">
                  <c:v>19</c:v>
                </c:pt>
                <c:pt idx="2">
                  <c:v>20</c:v>
                </c:pt>
                <c:pt idx="3">
                  <c:v>21</c:v>
                </c:pt>
                <c:pt idx="4">
                  <c:v>22</c:v>
                </c:pt>
                <c:pt idx="5">
                  <c:v>23</c:v>
                </c:pt>
                <c:pt idx="6">
                  <c:v>24</c:v>
                </c:pt>
              </c:strCache>
            </c:strRef>
          </c:cat>
          <c:val>
            <c:numRef>
              <c:f>'Age, gender'!$D$4:$D$11</c:f>
              <c:numCache>
                <c:formatCode>General</c:formatCode>
                <c:ptCount val="7"/>
                <c:pt idx="0">
                  <c:v>32</c:v>
                </c:pt>
                <c:pt idx="1">
                  <c:v>21</c:v>
                </c:pt>
                <c:pt idx="2">
                  <c:v>6</c:v>
                </c:pt>
                <c:pt idx="3">
                  <c:v>3</c:v>
                </c:pt>
                <c:pt idx="4">
                  <c:v>2</c:v>
                </c:pt>
                <c:pt idx="5">
                  <c:v>13</c:v>
                </c:pt>
                <c:pt idx="6">
                  <c:v>23</c:v>
                </c:pt>
              </c:numCache>
            </c:numRef>
          </c:val>
          <c:extLst>
            <c:ext xmlns:c16="http://schemas.microsoft.com/office/drawing/2014/chart" uri="{C3380CC4-5D6E-409C-BE32-E72D297353CC}">
              <c16:uniqueId val="{0000000C-B31E-074D-B4D2-D01F3B0F7E3B}"/>
            </c:ext>
          </c:extLst>
        </c:ser>
        <c:dLbls>
          <c:showLegendKey val="0"/>
          <c:showVal val="0"/>
          <c:showCatName val="0"/>
          <c:showSerName val="0"/>
          <c:showPercent val="0"/>
          <c:showBubbleSize val="0"/>
        </c:dLbls>
        <c:gapWidth val="219"/>
        <c:overlap val="-27"/>
        <c:axId val="1573969120"/>
        <c:axId val="1573970832"/>
      </c:barChart>
      <c:catAx>
        <c:axId val="157396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573970832"/>
        <c:crosses val="autoZero"/>
        <c:auto val="1"/>
        <c:lblAlgn val="ctr"/>
        <c:lblOffset val="100"/>
        <c:noMultiLvlLbl val="0"/>
      </c:catAx>
      <c:valAx>
        <c:axId val="157397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57396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A"/>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Mental health.xlsx]Course distribution!PivotTable1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'Course distribution'!$B$3</c:f>
              <c:strCache>
                <c:ptCount val="1"/>
                <c:pt idx="0">
                  <c:v>Panic attack</c:v>
                </c:pt>
              </c:strCache>
            </c:strRef>
          </c:tx>
          <c:spPr>
            <a:solidFill>
              <a:schemeClr val="accent1"/>
            </a:solidFill>
            <a:ln>
              <a:noFill/>
            </a:ln>
            <a:effectLst/>
          </c:spPr>
          <c:invertIfNegative val="0"/>
          <c:cat>
            <c:strRef>
              <c:f>'Course distribution'!$A$4:$A$39</c:f>
              <c:strCache>
                <c:ptCount val="36"/>
                <c:pt idx="0">
                  <c:v>Accounting </c:v>
                </c:pt>
                <c:pt idx="1">
                  <c:v>Banking Studies</c:v>
                </c:pt>
                <c:pt idx="2">
                  <c:v>BCS</c:v>
                </c:pt>
                <c:pt idx="3">
                  <c:v>BENL</c:v>
                </c:pt>
                <c:pt idx="4">
                  <c:v>Biomedical science</c:v>
                </c:pt>
                <c:pt idx="5">
                  <c:v>Biotechnology</c:v>
                </c:pt>
                <c:pt idx="6">
                  <c:v>BIT</c:v>
                </c:pt>
                <c:pt idx="7">
                  <c:v>Business Administration</c:v>
                </c:pt>
                <c:pt idx="8">
                  <c:v>CTS</c:v>
                </c:pt>
                <c:pt idx="9">
                  <c:v>Diploma Nursing</c:v>
                </c:pt>
                <c:pt idx="10">
                  <c:v>DIPLOMA TESL</c:v>
                </c:pt>
                <c:pt idx="11">
                  <c:v>Econs</c:v>
                </c:pt>
                <c:pt idx="12">
                  <c:v>engin</c:v>
                </c:pt>
                <c:pt idx="13">
                  <c:v>Engine</c:v>
                </c:pt>
                <c:pt idx="14">
                  <c:v>Engineering</c:v>
                </c:pt>
                <c:pt idx="15">
                  <c:v>Fiqh</c:v>
                </c:pt>
                <c:pt idx="16">
                  <c:v>Fiqh fatwa </c:v>
                </c:pt>
                <c:pt idx="17">
                  <c:v>Human Resources</c:v>
                </c:pt>
                <c:pt idx="18">
                  <c:v>Human Sciences </c:v>
                </c:pt>
                <c:pt idx="19">
                  <c:v>Irkhs</c:v>
                </c:pt>
                <c:pt idx="20">
                  <c:v>Islamic education</c:v>
                </c:pt>
                <c:pt idx="21">
                  <c:v>IT</c:v>
                </c:pt>
                <c:pt idx="22">
                  <c:v>KENMS</c:v>
                </c:pt>
                <c:pt idx="23">
                  <c:v>KIRKHS</c:v>
                </c:pt>
                <c:pt idx="24">
                  <c:v>KOE</c:v>
                </c:pt>
                <c:pt idx="25">
                  <c:v>Kop</c:v>
                </c:pt>
                <c:pt idx="26">
                  <c:v>Law</c:v>
                </c:pt>
                <c:pt idx="27">
                  <c:v>Laws</c:v>
                </c:pt>
                <c:pt idx="28">
                  <c:v>Malcom</c:v>
                </c:pt>
                <c:pt idx="29">
                  <c:v>Mathemathics</c:v>
                </c:pt>
                <c:pt idx="30">
                  <c:v>Pendidikan islam</c:v>
                </c:pt>
                <c:pt idx="31">
                  <c:v>Pendidikan Islam </c:v>
                </c:pt>
                <c:pt idx="32">
                  <c:v>Psychology</c:v>
                </c:pt>
                <c:pt idx="33">
                  <c:v>Radiography</c:v>
                </c:pt>
                <c:pt idx="34">
                  <c:v>TAASL</c:v>
                </c:pt>
                <c:pt idx="35">
                  <c:v>Usuluddin </c:v>
                </c:pt>
              </c:strCache>
            </c:strRef>
          </c:cat>
          <c:val>
            <c:numRef>
              <c:f>'Course distribution'!$B$4:$B$39</c:f>
              <c:numCache>
                <c:formatCode>General</c:formatCode>
                <c:ptCount val="36"/>
                <c:pt idx="0">
                  <c:v>1</c:v>
                </c:pt>
                <c:pt idx="1">
                  <c:v>1</c:v>
                </c:pt>
                <c:pt idx="2">
                  <c:v>17</c:v>
                </c:pt>
                <c:pt idx="3">
                  <c:v>3</c:v>
                </c:pt>
                <c:pt idx="4">
                  <c:v>4</c:v>
                </c:pt>
                <c:pt idx="5">
                  <c:v>1</c:v>
                </c:pt>
                <c:pt idx="6">
                  <c:v>8</c:v>
                </c:pt>
                <c:pt idx="7">
                  <c:v>1</c:v>
                </c:pt>
                <c:pt idx="8">
                  <c:v>1</c:v>
                </c:pt>
                <c:pt idx="9">
                  <c:v>1</c:v>
                </c:pt>
                <c:pt idx="10">
                  <c:v>1</c:v>
                </c:pt>
                <c:pt idx="11">
                  <c:v>1</c:v>
                </c:pt>
                <c:pt idx="12">
                  <c:v>1</c:v>
                </c:pt>
                <c:pt idx="13">
                  <c:v>2</c:v>
                </c:pt>
                <c:pt idx="14">
                  <c:v>14</c:v>
                </c:pt>
                <c:pt idx="15">
                  <c:v>1</c:v>
                </c:pt>
                <c:pt idx="16">
                  <c:v>1</c:v>
                </c:pt>
                <c:pt idx="17">
                  <c:v>1</c:v>
                </c:pt>
                <c:pt idx="18">
                  <c:v>1</c:v>
                </c:pt>
                <c:pt idx="19">
                  <c:v>1</c:v>
                </c:pt>
                <c:pt idx="20">
                  <c:v>2</c:v>
                </c:pt>
                <c:pt idx="21">
                  <c:v>1</c:v>
                </c:pt>
                <c:pt idx="22">
                  <c:v>1</c:v>
                </c:pt>
                <c:pt idx="23">
                  <c:v>2</c:v>
                </c:pt>
                <c:pt idx="24">
                  <c:v>4</c:v>
                </c:pt>
                <c:pt idx="25">
                  <c:v>1</c:v>
                </c:pt>
                <c:pt idx="26">
                  <c:v>1</c:v>
                </c:pt>
                <c:pt idx="27">
                  <c:v>1</c:v>
                </c:pt>
                <c:pt idx="28">
                  <c:v>1</c:v>
                </c:pt>
                <c:pt idx="29">
                  <c:v>1</c:v>
                </c:pt>
                <c:pt idx="30">
                  <c:v>1</c:v>
                </c:pt>
                <c:pt idx="31">
                  <c:v>1</c:v>
                </c:pt>
                <c:pt idx="32">
                  <c:v>3</c:v>
                </c:pt>
                <c:pt idx="33">
                  <c:v>1</c:v>
                </c:pt>
                <c:pt idx="34">
                  <c:v>1</c:v>
                </c:pt>
                <c:pt idx="35">
                  <c:v>1</c:v>
                </c:pt>
              </c:numCache>
            </c:numRef>
          </c:val>
          <c:extLst>
            <c:ext xmlns:c16="http://schemas.microsoft.com/office/drawing/2014/chart" uri="{C3380CC4-5D6E-409C-BE32-E72D297353CC}">
              <c16:uniqueId val="{0000001C-C42A-D04A-B1C1-28A924F3414E}"/>
            </c:ext>
          </c:extLst>
        </c:ser>
        <c:ser>
          <c:idx val="1"/>
          <c:order val="1"/>
          <c:tx>
            <c:strRef>
              <c:f>'Course distribution'!$C$3</c:f>
              <c:strCache>
                <c:ptCount val="1"/>
                <c:pt idx="0">
                  <c:v>Anxiety</c:v>
                </c:pt>
              </c:strCache>
            </c:strRef>
          </c:tx>
          <c:spPr>
            <a:solidFill>
              <a:schemeClr val="accent2"/>
            </a:solidFill>
            <a:ln>
              <a:noFill/>
            </a:ln>
            <a:effectLst/>
          </c:spPr>
          <c:invertIfNegative val="0"/>
          <c:cat>
            <c:strRef>
              <c:f>'Course distribution'!$A$4:$A$39</c:f>
              <c:strCache>
                <c:ptCount val="36"/>
                <c:pt idx="0">
                  <c:v>Accounting </c:v>
                </c:pt>
                <c:pt idx="1">
                  <c:v>Banking Studies</c:v>
                </c:pt>
                <c:pt idx="2">
                  <c:v>BCS</c:v>
                </c:pt>
                <c:pt idx="3">
                  <c:v>BENL</c:v>
                </c:pt>
                <c:pt idx="4">
                  <c:v>Biomedical science</c:v>
                </c:pt>
                <c:pt idx="5">
                  <c:v>Biotechnology</c:v>
                </c:pt>
                <c:pt idx="6">
                  <c:v>BIT</c:v>
                </c:pt>
                <c:pt idx="7">
                  <c:v>Business Administration</c:v>
                </c:pt>
                <c:pt idx="8">
                  <c:v>CTS</c:v>
                </c:pt>
                <c:pt idx="9">
                  <c:v>Diploma Nursing</c:v>
                </c:pt>
                <c:pt idx="10">
                  <c:v>DIPLOMA TESL</c:v>
                </c:pt>
                <c:pt idx="11">
                  <c:v>Econs</c:v>
                </c:pt>
                <c:pt idx="12">
                  <c:v>engin</c:v>
                </c:pt>
                <c:pt idx="13">
                  <c:v>Engine</c:v>
                </c:pt>
                <c:pt idx="14">
                  <c:v>Engineering</c:v>
                </c:pt>
                <c:pt idx="15">
                  <c:v>Fiqh</c:v>
                </c:pt>
                <c:pt idx="16">
                  <c:v>Fiqh fatwa </c:v>
                </c:pt>
                <c:pt idx="17">
                  <c:v>Human Resources</c:v>
                </c:pt>
                <c:pt idx="18">
                  <c:v>Human Sciences </c:v>
                </c:pt>
                <c:pt idx="19">
                  <c:v>Irkhs</c:v>
                </c:pt>
                <c:pt idx="20">
                  <c:v>Islamic education</c:v>
                </c:pt>
                <c:pt idx="21">
                  <c:v>IT</c:v>
                </c:pt>
                <c:pt idx="22">
                  <c:v>KENMS</c:v>
                </c:pt>
                <c:pt idx="23">
                  <c:v>KIRKHS</c:v>
                </c:pt>
                <c:pt idx="24">
                  <c:v>KOE</c:v>
                </c:pt>
                <c:pt idx="25">
                  <c:v>Kop</c:v>
                </c:pt>
                <c:pt idx="26">
                  <c:v>Law</c:v>
                </c:pt>
                <c:pt idx="27">
                  <c:v>Laws</c:v>
                </c:pt>
                <c:pt idx="28">
                  <c:v>Malcom</c:v>
                </c:pt>
                <c:pt idx="29">
                  <c:v>Mathemathics</c:v>
                </c:pt>
                <c:pt idx="30">
                  <c:v>Pendidikan islam</c:v>
                </c:pt>
                <c:pt idx="31">
                  <c:v>Pendidikan Islam </c:v>
                </c:pt>
                <c:pt idx="32">
                  <c:v>Psychology</c:v>
                </c:pt>
                <c:pt idx="33">
                  <c:v>Radiography</c:v>
                </c:pt>
                <c:pt idx="34">
                  <c:v>TAASL</c:v>
                </c:pt>
                <c:pt idx="35">
                  <c:v>Usuluddin </c:v>
                </c:pt>
              </c:strCache>
            </c:strRef>
          </c:cat>
          <c:val>
            <c:numRef>
              <c:f>'Course distribution'!$C$4:$C$39</c:f>
              <c:numCache>
                <c:formatCode>General</c:formatCode>
                <c:ptCount val="36"/>
                <c:pt idx="0">
                  <c:v>1</c:v>
                </c:pt>
                <c:pt idx="1">
                  <c:v>1</c:v>
                </c:pt>
                <c:pt idx="2">
                  <c:v>17</c:v>
                </c:pt>
                <c:pt idx="3">
                  <c:v>3</c:v>
                </c:pt>
                <c:pt idx="4">
                  <c:v>4</c:v>
                </c:pt>
                <c:pt idx="5">
                  <c:v>1</c:v>
                </c:pt>
                <c:pt idx="6">
                  <c:v>8</c:v>
                </c:pt>
                <c:pt idx="7">
                  <c:v>1</c:v>
                </c:pt>
                <c:pt idx="8">
                  <c:v>1</c:v>
                </c:pt>
                <c:pt idx="9">
                  <c:v>1</c:v>
                </c:pt>
                <c:pt idx="10">
                  <c:v>1</c:v>
                </c:pt>
                <c:pt idx="11">
                  <c:v>1</c:v>
                </c:pt>
                <c:pt idx="12">
                  <c:v>1</c:v>
                </c:pt>
                <c:pt idx="13">
                  <c:v>2</c:v>
                </c:pt>
                <c:pt idx="14">
                  <c:v>14</c:v>
                </c:pt>
                <c:pt idx="15">
                  <c:v>1</c:v>
                </c:pt>
                <c:pt idx="16">
                  <c:v>1</c:v>
                </c:pt>
                <c:pt idx="17">
                  <c:v>1</c:v>
                </c:pt>
                <c:pt idx="18">
                  <c:v>1</c:v>
                </c:pt>
                <c:pt idx="19">
                  <c:v>1</c:v>
                </c:pt>
                <c:pt idx="20">
                  <c:v>2</c:v>
                </c:pt>
                <c:pt idx="21">
                  <c:v>1</c:v>
                </c:pt>
                <c:pt idx="22">
                  <c:v>1</c:v>
                </c:pt>
                <c:pt idx="23">
                  <c:v>2</c:v>
                </c:pt>
                <c:pt idx="24">
                  <c:v>4</c:v>
                </c:pt>
                <c:pt idx="25">
                  <c:v>1</c:v>
                </c:pt>
                <c:pt idx="26">
                  <c:v>1</c:v>
                </c:pt>
                <c:pt idx="27">
                  <c:v>1</c:v>
                </c:pt>
                <c:pt idx="28">
                  <c:v>1</c:v>
                </c:pt>
                <c:pt idx="29">
                  <c:v>1</c:v>
                </c:pt>
                <c:pt idx="30">
                  <c:v>1</c:v>
                </c:pt>
                <c:pt idx="31">
                  <c:v>1</c:v>
                </c:pt>
                <c:pt idx="32">
                  <c:v>3</c:v>
                </c:pt>
                <c:pt idx="33">
                  <c:v>1</c:v>
                </c:pt>
                <c:pt idx="34">
                  <c:v>1</c:v>
                </c:pt>
                <c:pt idx="35">
                  <c:v>1</c:v>
                </c:pt>
              </c:numCache>
            </c:numRef>
          </c:val>
          <c:extLst>
            <c:ext xmlns:c16="http://schemas.microsoft.com/office/drawing/2014/chart" uri="{C3380CC4-5D6E-409C-BE32-E72D297353CC}">
              <c16:uniqueId val="{0000001D-C42A-D04A-B1C1-28A924F3414E}"/>
            </c:ext>
          </c:extLst>
        </c:ser>
        <c:ser>
          <c:idx val="2"/>
          <c:order val="2"/>
          <c:tx>
            <c:strRef>
              <c:f>'Course distribution'!$D$3</c:f>
              <c:strCache>
                <c:ptCount val="1"/>
                <c:pt idx="0">
                  <c:v>Depression</c:v>
                </c:pt>
              </c:strCache>
            </c:strRef>
          </c:tx>
          <c:spPr>
            <a:solidFill>
              <a:schemeClr val="accent3"/>
            </a:solidFill>
            <a:ln>
              <a:noFill/>
            </a:ln>
            <a:effectLst/>
          </c:spPr>
          <c:invertIfNegative val="0"/>
          <c:cat>
            <c:strRef>
              <c:f>'Course distribution'!$A$4:$A$39</c:f>
              <c:strCache>
                <c:ptCount val="36"/>
                <c:pt idx="0">
                  <c:v>Accounting </c:v>
                </c:pt>
                <c:pt idx="1">
                  <c:v>Banking Studies</c:v>
                </c:pt>
                <c:pt idx="2">
                  <c:v>BCS</c:v>
                </c:pt>
                <c:pt idx="3">
                  <c:v>BENL</c:v>
                </c:pt>
                <c:pt idx="4">
                  <c:v>Biomedical science</c:v>
                </c:pt>
                <c:pt idx="5">
                  <c:v>Biotechnology</c:v>
                </c:pt>
                <c:pt idx="6">
                  <c:v>BIT</c:v>
                </c:pt>
                <c:pt idx="7">
                  <c:v>Business Administration</c:v>
                </c:pt>
                <c:pt idx="8">
                  <c:v>CTS</c:v>
                </c:pt>
                <c:pt idx="9">
                  <c:v>Diploma Nursing</c:v>
                </c:pt>
                <c:pt idx="10">
                  <c:v>DIPLOMA TESL</c:v>
                </c:pt>
                <c:pt idx="11">
                  <c:v>Econs</c:v>
                </c:pt>
                <c:pt idx="12">
                  <c:v>engin</c:v>
                </c:pt>
                <c:pt idx="13">
                  <c:v>Engine</c:v>
                </c:pt>
                <c:pt idx="14">
                  <c:v>Engineering</c:v>
                </c:pt>
                <c:pt idx="15">
                  <c:v>Fiqh</c:v>
                </c:pt>
                <c:pt idx="16">
                  <c:v>Fiqh fatwa </c:v>
                </c:pt>
                <c:pt idx="17">
                  <c:v>Human Resources</c:v>
                </c:pt>
                <c:pt idx="18">
                  <c:v>Human Sciences </c:v>
                </c:pt>
                <c:pt idx="19">
                  <c:v>Irkhs</c:v>
                </c:pt>
                <c:pt idx="20">
                  <c:v>Islamic education</c:v>
                </c:pt>
                <c:pt idx="21">
                  <c:v>IT</c:v>
                </c:pt>
                <c:pt idx="22">
                  <c:v>KENMS</c:v>
                </c:pt>
                <c:pt idx="23">
                  <c:v>KIRKHS</c:v>
                </c:pt>
                <c:pt idx="24">
                  <c:v>KOE</c:v>
                </c:pt>
                <c:pt idx="25">
                  <c:v>Kop</c:v>
                </c:pt>
                <c:pt idx="26">
                  <c:v>Law</c:v>
                </c:pt>
                <c:pt idx="27">
                  <c:v>Laws</c:v>
                </c:pt>
                <c:pt idx="28">
                  <c:v>Malcom</c:v>
                </c:pt>
                <c:pt idx="29">
                  <c:v>Mathemathics</c:v>
                </c:pt>
                <c:pt idx="30">
                  <c:v>Pendidikan islam</c:v>
                </c:pt>
                <c:pt idx="31">
                  <c:v>Pendidikan Islam </c:v>
                </c:pt>
                <c:pt idx="32">
                  <c:v>Psychology</c:v>
                </c:pt>
                <c:pt idx="33">
                  <c:v>Radiography</c:v>
                </c:pt>
                <c:pt idx="34">
                  <c:v>TAASL</c:v>
                </c:pt>
                <c:pt idx="35">
                  <c:v>Usuluddin </c:v>
                </c:pt>
              </c:strCache>
            </c:strRef>
          </c:cat>
          <c:val>
            <c:numRef>
              <c:f>'Course distribution'!$D$4:$D$39</c:f>
              <c:numCache>
                <c:formatCode>General</c:formatCode>
                <c:ptCount val="36"/>
                <c:pt idx="0">
                  <c:v>1</c:v>
                </c:pt>
                <c:pt idx="1">
                  <c:v>1</c:v>
                </c:pt>
                <c:pt idx="2">
                  <c:v>17</c:v>
                </c:pt>
                <c:pt idx="3">
                  <c:v>3</c:v>
                </c:pt>
                <c:pt idx="4">
                  <c:v>4</c:v>
                </c:pt>
                <c:pt idx="5">
                  <c:v>1</c:v>
                </c:pt>
                <c:pt idx="6">
                  <c:v>8</c:v>
                </c:pt>
                <c:pt idx="7">
                  <c:v>1</c:v>
                </c:pt>
                <c:pt idx="8">
                  <c:v>1</c:v>
                </c:pt>
                <c:pt idx="9">
                  <c:v>1</c:v>
                </c:pt>
                <c:pt idx="10">
                  <c:v>1</c:v>
                </c:pt>
                <c:pt idx="11">
                  <c:v>1</c:v>
                </c:pt>
                <c:pt idx="12">
                  <c:v>1</c:v>
                </c:pt>
                <c:pt idx="13">
                  <c:v>2</c:v>
                </c:pt>
                <c:pt idx="14">
                  <c:v>14</c:v>
                </c:pt>
                <c:pt idx="15">
                  <c:v>1</c:v>
                </c:pt>
                <c:pt idx="16">
                  <c:v>1</c:v>
                </c:pt>
                <c:pt idx="17">
                  <c:v>1</c:v>
                </c:pt>
                <c:pt idx="18">
                  <c:v>1</c:v>
                </c:pt>
                <c:pt idx="19">
                  <c:v>1</c:v>
                </c:pt>
                <c:pt idx="20">
                  <c:v>2</c:v>
                </c:pt>
                <c:pt idx="21">
                  <c:v>1</c:v>
                </c:pt>
                <c:pt idx="22">
                  <c:v>1</c:v>
                </c:pt>
                <c:pt idx="23">
                  <c:v>2</c:v>
                </c:pt>
                <c:pt idx="24">
                  <c:v>4</c:v>
                </c:pt>
                <c:pt idx="25">
                  <c:v>1</c:v>
                </c:pt>
                <c:pt idx="26">
                  <c:v>1</c:v>
                </c:pt>
                <c:pt idx="27">
                  <c:v>1</c:v>
                </c:pt>
                <c:pt idx="28">
                  <c:v>1</c:v>
                </c:pt>
                <c:pt idx="29">
                  <c:v>1</c:v>
                </c:pt>
                <c:pt idx="30">
                  <c:v>1</c:v>
                </c:pt>
                <c:pt idx="31">
                  <c:v>1</c:v>
                </c:pt>
                <c:pt idx="32">
                  <c:v>3</c:v>
                </c:pt>
                <c:pt idx="33">
                  <c:v>1</c:v>
                </c:pt>
                <c:pt idx="34">
                  <c:v>1</c:v>
                </c:pt>
                <c:pt idx="35">
                  <c:v>1</c:v>
                </c:pt>
              </c:numCache>
            </c:numRef>
          </c:val>
          <c:extLst>
            <c:ext xmlns:c16="http://schemas.microsoft.com/office/drawing/2014/chart" uri="{C3380CC4-5D6E-409C-BE32-E72D297353CC}">
              <c16:uniqueId val="{0000001E-C42A-D04A-B1C1-28A924F3414E}"/>
            </c:ext>
          </c:extLst>
        </c:ser>
        <c:dLbls>
          <c:showLegendKey val="0"/>
          <c:showVal val="0"/>
          <c:showCatName val="0"/>
          <c:showSerName val="0"/>
          <c:showPercent val="0"/>
          <c:showBubbleSize val="0"/>
        </c:dLbls>
        <c:gapWidth val="219"/>
        <c:overlap val="-27"/>
        <c:axId val="1727546144"/>
        <c:axId val="1305785072"/>
      </c:barChart>
      <c:catAx>
        <c:axId val="172754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305785072"/>
        <c:crosses val="autoZero"/>
        <c:auto val="1"/>
        <c:lblAlgn val="ctr"/>
        <c:lblOffset val="100"/>
        <c:noMultiLvlLbl val="0"/>
      </c:catAx>
      <c:valAx>
        <c:axId val="130578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72754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0773600174978124"/>
          <c:y val="0"/>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A"/>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666666666666664E-2"/>
          <c:y val="0.2452548118985127"/>
          <c:w val="0.93888888888888888"/>
          <c:h val="0.75474518810148727"/>
        </c:manualLayout>
      </c:layout>
      <c:pie3DChart>
        <c:varyColors val="1"/>
        <c:ser>
          <c:idx val="0"/>
          <c:order val="0"/>
          <c:tx>
            <c:strRef>
              <c:f>'Mental disorders'!$O$1:$O$2</c:f>
              <c:strCache>
                <c:ptCount val="2"/>
                <c:pt idx="0">
                  <c:v>Prevalence of mental disorders</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0D85-044B-858F-3BF2B2A838EC}"/>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2-0D85-044B-858F-3BF2B2A838EC}"/>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3-0D85-044B-858F-3BF2B2A838EC}"/>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4-0D85-044B-858F-3BF2B2A838EC}"/>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5-0D85-044B-858F-3BF2B2A838EC}"/>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6-0D85-044B-858F-3BF2B2A838EC}"/>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7-0D85-044B-858F-3BF2B2A838EC}"/>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8-0D85-044B-858F-3BF2B2A838EC}"/>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09-0D85-044B-858F-3BF2B2A838EC}"/>
              </c:ext>
            </c:extLst>
          </c:dPt>
          <c:dPt>
            <c:idx val="9"/>
            <c:bubble3D val="0"/>
            <c:spPr>
              <a:solidFill>
                <a:schemeClr val="accent4">
                  <a:lumMod val="6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0A-0D85-044B-858F-3BF2B2A838EC}"/>
              </c:ext>
            </c:extLst>
          </c:dPt>
          <c:dPt>
            <c:idx val="10"/>
            <c:bubble3D val="0"/>
            <c:spPr>
              <a:solidFill>
                <a:schemeClr val="accent5">
                  <a:lumMod val="60000"/>
                  <a:alpha val="90000"/>
                </a:schemeClr>
              </a:solidFill>
              <a:ln w="19050">
                <a:solidFill>
                  <a:schemeClr val="accent5">
                    <a:lumMod val="60000"/>
                    <a:lumMod val="75000"/>
                  </a:schemeClr>
                </a:solidFill>
              </a:ln>
              <a:effectLst>
                <a:innerShdw blurRad="114300">
                  <a:schemeClr val="accent5">
                    <a:lumMod val="60000"/>
                    <a:lumMod val="75000"/>
                  </a:schemeClr>
                </a:innerShdw>
              </a:effectLst>
              <a:scene3d>
                <a:camera prst="orthographicFront"/>
                <a:lightRig rig="threePt" dir="t"/>
              </a:scene3d>
              <a:sp3d contourW="19050" prstMaterial="flat">
                <a:contourClr>
                  <a:schemeClr val="accent5">
                    <a:lumMod val="60000"/>
                    <a:lumMod val="75000"/>
                  </a:schemeClr>
                </a:contourClr>
              </a:sp3d>
            </c:spPr>
            <c:extLst>
              <c:ext xmlns:c16="http://schemas.microsoft.com/office/drawing/2014/chart" uri="{C3380CC4-5D6E-409C-BE32-E72D297353CC}">
                <c16:uniqueId val="{0000000B-0D85-044B-858F-3BF2B2A838EC}"/>
              </c:ext>
            </c:extLst>
          </c:dPt>
          <c:dPt>
            <c:idx val="11"/>
            <c:bubble3D val="0"/>
            <c:spPr>
              <a:solidFill>
                <a:schemeClr val="accent6">
                  <a:lumMod val="60000"/>
                  <a:alpha val="90000"/>
                </a:schemeClr>
              </a:solidFill>
              <a:ln w="19050">
                <a:solidFill>
                  <a:schemeClr val="accent6">
                    <a:lumMod val="60000"/>
                    <a:lumMod val="75000"/>
                  </a:schemeClr>
                </a:solidFill>
              </a:ln>
              <a:effectLst>
                <a:innerShdw blurRad="114300">
                  <a:schemeClr val="accent6">
                    <a:lumMod val="60000"/>
                    <a:lumMod val="75000"/>
                  </a:schemeClr>
                </a:innerShdw>
              </a:effectLst>
              <a:scene3d>
                <a:camera prst="orthographicFront"/>
                <a:lightRig rig="threePt" dir="t"/>
              </a:scene3d>
              <a:sp3d contourW="19050" prstMaterial="flat">
                <a:contourClr>
                  <a:schemeClr val="accent6">
                    <a:lumMod val="60000"/>
                    <a:lumMod val="75000"/>
                  </a:schemeClr>
                </a:contourClr>
              </a:sp3d>
            </c:spPr>
            <c:extLst>
              <c:ext xmlns:c16="http://schemas.microsoft.com/office/drawing/2014/chart" uri="{C3380CC4-5D6E-409C-BE32-E72D297353CC}">
                <c16:uniqueId val="{0000000C-0D85-044B-858F-3BF2B2A838EC}"/>
              </c:ext>
            </c:extLst>
          </c:dPt>
          <c:dPt>
            <c:idx val="12"/>
            <c:bubble3D val="0"/>
            <c:spPr>
              <a:solidFill>
                <a:schemeClr val="accent1">
                  <a:lumMod val="80000"/>
                  <a:lumOff val="20000"/>
                  <a:alpha val="90000"/>
                </a:schemeClr>
              </a:solidFill>
              <a:ln w="19050">
                <a:solidFill>
                  <a:schemeClr val="accent1">
                    <a:lumMod val="80000"/>
                    <a:lumOff val="20000"/>
                    <a:lumMod val="75000"/>
                  </a:schemeClr>
                </a:solidFill>
              </a:ln>
              <a:effectLst>
                <a:innerShdw blurRad="114300">
                  <a:schemeClr val="accent1">
                    <a:lumMod val="80000"/>
                    <a:lumOff val="20000"/>
                    <a:lumMod val="75000"/>
                  </a:schemeClr>
                </a:innerShdw>
              </a:effectLst>
              <a:scene3d>
                <a:camera prst="orthographicFront"/>
                <a:lightRig rig="threePt" dir="t"/>
              </a:scene3d>
              <a:sp3d contourW="19050" prstMaterial="flat">
                <a:contourClr>
                  <a:schemeClr val="accent1">
                    <a:lumMod val="80000"/>
                    <a:lumOff val="20000"/>
                    <a:lumMod val="75000"/>
                  </a:schemeClr>
                </a:contourClr>
              </a:sp3d>
            </c:spPr>
            <c:extLst>
              <c:ext xmlns:c16="http://schemas.microsoft.com/office/drawing/2014/chart" uri="{C3380CC4-5D6E-409C-BE32-E72D297353CC}">
                <c16:uniqueId val="{0000000D-0D85-044B-858F-3BF2B2A838EC}"/>
              </c:ext>
            </c:extLst>
          </c:dPt>
          <c:dPt>
            <c:idx val="13"/>
            <c:bubble3D val="0"/>
            <c:spPr>
              <a:solidFill>
                <a:schemeClr val="accent2">
                  <a:lumMod val="80000"/>
                  <a:lumOff val="20000"/>
                  <a:alpha val="90000"/>
                </a:schemeClr>
              </a:solidFill>
              <a:ln w="19050">
                <a:solidFill>
                  <a:schemeClr val="accent2">
                    <a:lumMod val="80000"/>
                    <a:lumOff val="20000"/>
                    <a:lumMod val="75000"/>
                  </a:schemeClr>
                </a:solidFill>
              </a:ln>
              <a:effectLst>
                <a:innerShdw blurRad="114300">
                  <a:schemeClr val="accent2">
                    <a:lumMod val="80000"/>
                    <a:lumOff val="20000"/>
                    <a:lumMod val="75000"/>
                  </a:schemeClr>
                </a:innerShdw>
              </a:effectLst>
              <a:scene3d>
                <a:camera prst="orthographicFront"/>
                <a:lightRig rig="threePt" dir="t"/>
              </a:scene3d>
              <a:sp3d contourW="19050" prstMaterial="flat">
                <a:contourClr>
                  <a:schemeClr val="accent2">
                    <a:lumMod val="80000"/>
                    <a:lumOff val="20000"/>
                    <a:lumMod val="75000"/>
                  </a:schemeClr>
                </a:contourClr>
              </a:sp3d>
            </c:spPr>
            <c:extLst>
              <c:ext xmlns:c16="http://schemas.microsoft.com/office/drawing/2014/chart" uri="{C3380CC4-5D6E-409C-BE32-E72D297353CC}">
                <c16:uniqueId val="{0000000E-0D85-044B-858F-3BF2B2A838EC}"/>
              </c:ext>
            </c:extLst>
          </c:dPt>
          <c:dPt>
            <c:idx val="14"/>
            <c:bubble3D val="0"/>
            <c:spPr>
              <a:solidFill>
                <a:schemeClr val="accent3">
                  <a:lumMod val="80000"/>
                  <a:lumOff val="20000"/>
                  <a:alpha val="90000"/>
                </a:schemeClr>
              </a:solidFill>
              <a:ln w="19050">
                <a:solidFill>
                  <a:schemeClr val="accent3">
                    <a:lumMod val="80000"/>
                    <a:lumOff val="20000"/>
                    <a:lumMod val="75000"/>
                  </a:schemeClr>
                </a:solidFill>
              </a:ln>
              <a:effectLst>
                <a:innerShdw blurRad="114300">
                  <a:schemeClr val="accent3">
                    <a:lumMod val="80000"/>
                    <a:lumOff val="20000"/>
                    <a:lumMod val="75000"/>
                  </a:schemeClr>
                </a:innerShdw>
              </a:effectLst>
              <a:scene3d>
                <a:camera prst="orthographicFront"/>
                <a:lightRig rig="threePt" dir="t"/>
              </a:scene3d>
              <a:sp3d contourW="19050" prstMaterial="flat">
                <a:contourClr>
                  <a:schemeClr val="accent3">
                    <a:lumMod val="80000"/>
                    <a:lumOff val="20000"/>
                    <a:lumMod val="75000"/>
                  </a:schemeClr>
                </a:contourClr>
              </a:sp3d>
            </c:spPr>
            <c:extLst>
              <c:ext xmlns:c16="http://schemas.microsoft.com/office/drawing/2014/chart" uri="{C3380CC4-5D6E-409C-BE32-E72D297353CC}">
                <c16:uniqueId val="{0000000F-0D85-044B-858F-3BF2B2A838EC}"/>
              </c:ext>
            </c:extLst>
          </c:dPt>
          <c:dPt>
            <c:idx val="15"/>
            <c:bubble3D val="0"/>
            <c:spPr>
              <a:solidFill>
                <a:schemeClr val="accent4">
                  <a:lumMod val="80000"/>
                  <a:lumOff val="20000"/>
                  <a:alpha val="90000"/>
                </a:schemeClr>
              </a:solidFill>
              <a:ln w="19050">
                <a:solidFill>
                  <a:schemeClr val="accent4">
                    <a:lumMod val="80000"/>
                    <a:lumOff val="20000"/>
                    <a:lumMod val="75000"/>
                  </a:schemeClr>
                </a:solidFill>
              </a:ln>
              <a:effectLst>
                <a:innerShdw blurRad="114300">
                  <a:schemeClr val="accent4">
                    <a:lumMod val="80000"/>
                    <a:lumOff val="20000"/>
                    <a:lumMod val="75000"/>
                  </a:schemeClr>
                </a:innerShdw>
              </a:effectLst>
              <a:scene3d>
                <a:camera prst="orthographicFront"/>
                <a:lightRig rig="threePt" dir="t"/>
              </a:scene3d>
              <a:sp3d contourW="19050" prstMaterial="flat">
                <a:contourClr>
                  <a:schemeClr val="accent4">
                    <a:lumMod val="80000"/>
                    <a:lumOff val="20000"/>
                    <a:lumMod val="75000"/>
                  </a:schemeClr>
                </a:contourClr>
              </a:sp3d>
            </c:spPr>
            <c:extLst>
              <c:ext xmlns:c16="http://schemas.microsoft.com/office/drawing/2014/chart" uri="{C3380CC4-5D6E-409C-BE32-E72D297353CC}">
                <c16:uniqueId val="{00000010-0D85-044B-858F-3BF2B2A838EC}"/>
              </c:ext>
            </c:extLst>
          </c:dPt>
          <c:dPt>
            <c:idx val="16"/>
            <c:bubble3D val="0"/>
            <c:spPr>
              <a:solidFill>
                <a:schemeClr val="accent5">
                  <a:lumMod val="80000"/>
                  <a:lumOff val="20000"/>
                  <a:alpha val="90000"/>
                </a:schemeClr>
              </a:solidFill>
              <a:ln w="19050">
                <a:solidFill>
                  <a:schemeClr val="accent5">
                    <a:lumMod val="80000"/>
                    <a:lumOff val="20000"/>
                    <a:lumMod val="75000"/>
                  </a:schemeClr>
                </a:solidFill>
              </a:ln>
              <a:effectLst>
                <a:innerShdw blurRad="114300">
                  <a:schemeClr val="accent5">
                    <a:lumMod val="80000"/>
                    <a:lumOff val="20000"/>
                    <a:lumMod val="75000"/>
                  </a:schemeClr>
                </a:innerShdw>
              </a:effectLst>
              <a:scene3d>
                <a:camera prst="orthographicFront"/>
                <a:lightRig rig="threePt" dir="t"/>
              </a:scene3d>
              <a:sp3d contourW="19050" prstMaterial="flat">
                <a:contourClr>
                  <a:schemeClr val="accent5">
                    <a:lumMod val="80000"/>
                    <a:lumOff val="20000"/>
                    <a:lumMod val="75000"/>
                  </a:schemeClr>
                </a:contourClr>
              </a:sp3d>
            </c:spPr>
            <c:extLst>
              <c:ext xmlns:c16="http://schemas.microsoft.com/office/drawing/2014/chart" uri="{C3380CC4-5D6E-409C-BE32-E72D297353CC}">
                <c16:uniqueId val="{00000011-0D85-044B-858F-3BF2B2A838EC}"/>
              </c:ext>
            </c:extLst>
          </c:dPt>
          <c:dPt>
            <c:idx val="17"/>
            <c:bubble3D val="0"/>
            <c:spPr>
              <a:solidFill>
                <a:schemeClr val="accent6">
                  <a:lumMod val="80000"/>
                  <a:lumOff val="20000"/>
                  <a:alpha val="90000"/>
                </a:schemeClr>
              </a:solidFill>
              <a:ln w="19050">
                <a:solidFill>
                  <a:schemeClr val="accent6">
                    <a:lumMod val="80000"/>
                    <a:lumOff val="20000"/>
                    <a:lumMod val="75000"/>
                  </a:schemeClr>
                </a:solidFill>
              </a:ln>
              <a:effectLst>
                <a:innerShdw blurRad="114300">
                  <a:schemeClr val="accent6">
                    <a:lumMod val="80000"/>
                    <a:lumOff val="20000"/>
                    <a:lumMod val="75000"/>
                  </a:schemeClr>
                </a:innerShdw>
              </a:effectLst>
              <a:scene3d>
                <a:camera prst="orthographicFront"/>
                <a:lightRig rig="threePt" dir="t"/>
              </a:scene3d>
              <a:sp3d contourW="19050" prstMaterial="flat">
                <a:contourClr>
                  <a:schemeClr val="accent6">
                    <a:lumMod val="80000"/>
                    <a:lumOff val="20000"/>
                    <a:lumMod val="75000"/>
                  </a:schemeClr>
                </a:contourClr>
              </a:sp3d>
            </c:spPr>
            <c:extLst>
              <c:ext xmlns:c16="http://schemas.microsoft.com/office/drawing/2014/chart" uri="{C3380CC4-5D6E-409C-BE32-E72D297353CC}">
                <c16:uniqueId val="{00000012-0D85-044B-858F-3BF2B2A838EC}"/>
              </c:ext>
            </c:extLst>
          </c:dPt>
          <c:dPt>
            <c:idx val="18"/>
            <c:bubble3D val="0"/>
            <c:spPr>
              <a:solidFill>
                <a:schemeClr val="accent1">
                  <a:lumMod val="80000"/>
                  <a:alpha val="90000"/>
                </a:schemeClr>
              </a:solidFill>
              <a:ln w="19050">
                <a:solidFill>
                  <a:schemeClr val="accent1">
                    <a:lumMod val="80000"/>
                    <a:lumMod val="75000"/>
                  </a:schemeClr>
                </a:solidFill>
              </a:ln>
              <a:effectLst>
                <a:innerShdw blurRad="114300">
                  <a:schemeClr val="accent1">
                    <a:lumMod val="80000"/>
                    <a:lumMod val="75000"/>
                  </a:schemeClr>
                </a:innerShdw>
              </a:effectLst>
              <a:scene3d>
                <a:camera prst="orthographicFront"/>
                <a:lightRig rig="threePt" dir="t"/>
              </a:scene3d>
              <a:sp3d contourW="19050" prstMaterial="flat">
                <a:contourClr>
                  <a:schemeClr val="accent1">
                    <a:lumMod val="80000"/>
                    <a:lumMod val="75000"/>
                  </a:schemeClr>
                </a:contourClr>
              </a:sp3d>
            </c:spPr>
            <c:extLst>
              <c:ext xmlns:c16="http://schemas.microsoft.com/office/drawing/2014/chart" uri="{C3380CC4-5D6E-409C-BE32-E72D297353CC}">
                <c16:uniqueId val="{00000013-0D85-044B-858F-3BF2B2A838EC}"/>
              </c:ext>
            </c:extLst>
          </c:dPt>
          <c:dPt>
            <c:idx val="19"/>
            <c:bubble3D val="0"/>
            <c:spPr>
              <a:solidFill>
                <a:schemeClr val="accent2">
                  <a:lumMod val="80000"/>
                  <a:alpha val="90000"/>
                </a:schemeClr>
              </a:solidFill>
              <a:ln w="19050">
                <a:solidFill>
                  <a:schemeClr val="accent2">
                    <a:lumMod val="80000"/>
                    <a:lumMod val="75000"/>
                  </a:schemeClr>
                </a:solidFill>
              </a:ln>
              <a:effectLst>
                <a:innerShdw blurRad="114300">
                  <a:schemeClr val="accent2">
                    <a:lumMod val="80000"/>
                    <a:lumMod val="75000"/>
                  </a:schemeClr>
                </a:innerShdw>
              </a:effectLst>
              <a:scene3d>
                <a:camera prst="orthographicFront"/>
                <a:lightRig rig="threePt" dir="t"/>
              </a:scene3d>
              <a:sp3d contourW="19050" prstMaterial="flat">
                <a:contourClr>
                  <a:schemeClr val="accent2">
                    <a:lumMod val="80000"/>
                    <a:lumMod val="75000"/>
                  </a:schemeClr>
                </a:contourClr>
              </a:sp3d>
            </c:spPr>
            <c:extLst>
              <c:ext xmlns:c16="http://schemas.microsoft.com/office/drawing/2014/chart" uri="{C3380CC4-5D6E-409C-BE32-E72D297353CC}">
                <c16:uniqueId val="{00000014-0D85-044B-858F-3BF2B2A838EC}"/>
              </c:ext>
            </c:extLst>
          </c:dPt>
          <c:dPt>
            <c:idx val="20"/>
            <c:bubble3D val="0"/>
            <c:spPr>
              <a:solidFill>
                <a:schemeClr val="accent3">
                  <a:lumMod val="80000"/>
                  <a:alpha val="90000"/>
                </a:schemeClr>
              </a:solidFill>
              <a:ln w="19050">
                <a:solidFill>
                  <a:schemeClr val="accent3">
                    <a:lumMod val="80000"/>
                    <a:lumMod val="75000"/>
                  </a:schemeClr>
                </a:solidFill>
              </a:ln>
              <a:effectLst>
                <a:innerShdw blurRad="114300">
                  <a:schemeClr val="accent3">
                    <a:lumMod val="80000"/>
                    <a:lumMod val="75000"/>
                  </a:schemeClr>
                </a:innerShdw>
              </a:effectLst>
              <a:scene3d>
                <a:camera prst="orthographicFront"/>
                <a:lightRig rig="threePt" dir="t"/>
              </a:scene3d>
              <a:sp3d contourW="19050" prstMaterial="flat">
                <a:contourClr>
                  <a:schemeClr val="accent3">
                    <a:lumMod val="80000"/>
                    <a:lumMod val="75000"/>
                  </a:schemeClr>
                </a:contourClr>
              </a:sp3d>
            </c:spPr>
            <c:extLst>
              <c:ext xmlns:c16="http://schemas.microsoft.com/office/drawing/2014/chart" uri="{C3380CC4-5D6E-409C-BE32-E72D297353CC}">
                <c16:uniqueId val="{00000015-0D85-044B-858F-3BF2B2A838EC}"/>
              </c:ext>
            </c:extLst>
          </c:dPt>
          <c:dPt>
            <c:idx val="21"/>
            <c:bubble3D val="0"/>
            <c:spPr>
              <a:solidFill>
                <a:schemeClr val="accent4">
                  <a:lumMod val="80000"/>
                  <a:alpha val="90000"/>
                </a:schemeClr>
              </a:solidFill>
              <a:ln w="19050">
                <a:solidFill>
                  <a:schemeClr val="accent4">
                    <a:lumMod val="80000"/>
                    <a:lumMod val="75000"/>
                  </a:schemeClr>
                </a:solidFill>
              </a:ln>
              <a:effectLst>
                <a:innerShdw blurRad="114300">
                  <a:schemeClr val="accent4">
                    <a:lumMod val="80000"/>
                    <a:lumMod val="75000"/>
                  </a:schemeClr>
                </a:innerShdw>
              </a:effectLst>
              <a:scene3d>
                <a:camera prst="orthographicFront"/>
                <a:lightRig rig="threePt" dir="t"/>
              </a:scene3d>
              <a:sp3d contourW="19050" prstMaterial="flat">
                <a:contourClr>
                  <a:schemeClr val="accent4">
                    <a:lumMod val="80000"/>
                    <a:lumMod val="75000"/>
                  </a:schemeClr>
                </a:contourClr>
              </a:sp3d>
            </c:spPr>
            <c:extLst>
              <c:ext xmlns:c16="http://schemas.microsoft.com/office/drawing/2014/chart" uri="{C3380CC4-5D6E-409C-BE32-E72D297353CC}">
                <c16:uniqueId val="{00000016-0D85-044B-858F-3BF2B2A838EC}"/>
              </c:ext>
            </c:extLst>
          </c:dPt>
          <c:dPt>
            <c:idx val="22"/>
            <c:bubble3D val="0"/>
            <c:spPr>
              <a:solidFill>
                <a:schemeClr val="accent5">
                  <a:lumMod val="80000"/>
                  <a:alpha val="90000"/>
                </a:schemeClr>
              </a:solidFill>
              <a:ln w="19050">
                <a:solidFill>
                  <a:schemeClr val="accent5">
                    <a:lumMod val="80000"/>
                    <a:lumMod val="75000"/>
                  </a:schemeClr>
                </a:solidFill>
              </a:ln>
              <a:effectLst>
                <a:innerShdw blurRad="114300">
                  <a:schemeClr val="accent5">
                    <a:lumMod val="80000"/>
                    <a:lumMod val="75000"/>
                  </a:schemeClr>
                </a:innerShdw>
              </a:effectLst>
              <a:scene3d>
                <a:camera prst="orthographicFront"/>
                <a:lightRig rig="threePt" dir="t"/>
              </a:scene3d>
              <a:sp3d contourW="19050" prstMaterial="flat">
                <a:contourClr>
                  <a:schemeClr val="accent5">
                    <a:lumMod val="80000"/>
                    <a:lumMod val="75000"/>
                  </a:schemeClr>
                </a:contourClr>
              </a:sp3d>
            </c:spPr>
            <c:extLst>
              <c:ext xmlns:c16="http://schemas.microsoft.com/office/drawing/2014/chart" uri="{C3380CC4-5D6E-409C-BE32-E72D297353CC}">
                <c16:uniqueId val="{00000017-0D85-044B-858F-3BF2B2A838EC}"/>
              </c:ext>
            </c:extLst>
          </c:dPt>
          <c:dPt>
            <c:idx val="23"/>
            <c:bubble3D val="0"/>
            <c:spPr>
              <a:solidFill>
                <a:schemeClr val="accent6">
                  <a:lumMod val="80000"/>
                  <a:alpha val="90000"/>
                </a:schemeClr>
              </a:solidFill>
              <a:ln w="19050">
                <a:solidFill>
                  <a:schemeClr val="accent6">
                    <a:lumMod val="80000"/>
                    <a:lumMod val="75000"/>
                  </a:schemeClr>
                </a:solidFill>
              </a:ln>
              <a:effectLst>
                <a:innerShdw blurRad="114300">
                  <a:schemeClr val="accent6">
                    <a:lumMod val="80000"/>
                    <a:lumMod val="75000"/>
                  </a:schemeClr>
                </a:innerShdw>
              </a:effectLst>
              <a:scene3d>
                <a:camera prst="orthographicFront"/>
                <a:lightRig rig="threePt" dir="t"/>
              </a:scene3d>
              <a:sp3d contourW="19050" prstMaterial="flat">
                <a:contourClr>
                  <a:schemeClr val="accent6">
                    <a:lumMod val="80000"/>
                    <a:lumMod val="75000"/>
                  </a:schemeClr>
                </a:contourClr>
              </a:sp3d>
            </c:spPr>
            <c:extLst>
              <c:ext xmlns:c16="http://schemas.microsoft.com/office/drawing/2014/chart" uri="{C3380CC4-5D6E-409C-BE32-E72D297353CC}">
                <c16:uniqueId val="{00000018-0D85-044B-858F-3BF2B2A838EC}"/>
              </c:ext>
            </c:extLst>
          </c:dPt>
          <c:dPt>
            <c:idx val="24"/>
            <c:bubble3D val="0"/>
            <c:spPr>
              <a:solidFill>
                <a:schemeClr val="accent1">
                  <a:lumMod val="60000"/>
                  <a:lumOff val="40000"/>
                  <a:alpha val="90000"/>
                </a:schemeClr>
              </a:solidFill>
              <a:ln w="19050">
                <a:solidFill>
                  <a:schemeClr val="accent1">
                    <a:lumMod val="60000"/>
                    <a:lumOff val="40000"/>
                    <a:lumMod val="75000"/>
                  </a:schemeClr>
                </a:solidFill>
              </a:ln>
              <a:effectLst>
                <a:innerShdw blurRad="114300">
                  <a:schemeClr val="accent1">
                    <a:lumMod val="60000"/>
                    <a:lumOff val="40000"/>
                    <a:lumMod val="75000"/>
                  </a:schemeClr>
                </a:innerShdw>
              </a:effectLst>
              <a:scene3d>
                <a:camera prst="orthographicFront"/>
                <a:lightRig rig="threePt" dir="t"/>
              </a:scene3d>
              <a:sp3d contourW="19050" prstMaterial="flat">
                <a:contourClr>
                  <a:schemeClr val="accent1">
                    <a:lumMod val="60000"/>
                    <a:lumOff val="40000"/>
                    <a:lumMod val="75000"/>
                  </a:schemeClr>
                </a:contourClr>
              </a:sp3d>
            </c:spPr>
            <c:extLst>
              <c:ext xmlns:c16="http://schemas.microsoft.com/office/drawing/2014/chart" uri="{C3380CC4-5D6E-409C-BE32-E72D297353CC}">
                <c16:uniqueId val="{00000019-0D85-044B-858F-3BF2B2A838EC}"/>
              </c:ext>
            </c:extLst>
          </c:dPt>
          <c:dPt>
            <c:idx val="25"/>
            <c:bubble3D val="0"/>
            <c:spPr>
              <a:solidFill>
                <a:schemeClr val="accent2">
                  <a:lumMod val="60000"/>
                  <a:lumOff val="40000"/>
                  <a:alpha val="90000"/>
                </a:schemeClr>
              </a:solidFill>
              <a:ln w="19050">
                <a:solidFill>
                  <a:schemeClr val="accent2">
                    <a:lumMod val="60000"/>
                    <a:lumOff val="40000"/>
                    <a:lumMod val="75000"/>
                  </a:schemeClr>
                </a:solidFill>
              </a:ln>
              <a:effectLst>
                <a:innerShdw blurRad="114300">
                  <a:schemeClr val="accent2">
                    <a:lumMod val="60000"/>
                    <a:lumOff val="40000"/>
                    <a:lumMod val="75000"/>
                  </a:schemeClr>
                </a:innerShdw>
              </a:effectLst>
              <a:scene3d>
                <a:camera prst="orthographicFront"/>
                <a:lightRig rig="threePt" dir="t"/>
              </a:scene3d>
              <a:sp3d contourW="19050" prstMaterial="flat">
                <a:contourClr>
                  <a:schemeClr val="accent2">
                    <a:lumMod val="60000"/>
                    <a:lumOff val="40000"/>
                    <a:lumMod val="75000"/>
                  </a:schemeClr>
                </a:contourClr>
              </a:sp3d>
            </c:spPr>
            <c:extLst>
              <c:ext xmlns:c16="http://schemas.microsoft.com/office/drawing/2014/chart" uri="{C3380CC4-5D6E-409C-BE32-E72D297353CC}">
                <c16:uniqueId val="{0000001A-0D85-044B-858F-3BF2B2A838EC}"/>
              </c:ext>
            </c:extLst>
          </c:dPt>
          <c:dPt>
            <c:idx val="26"/>
            <c:bubble3D val="0"/>
            <c:spPr>
              <a:solidFill>
                <a:schemeClr val="accent3">
                  <a:lumMod val="60000"/>
                  <a:lumOff val="40000"/>
                  <a:alpha val="90000"/>
                </a:schemeClr>
              </a:solidFill>
              <a:ln w="19050">
                <a:solidFill>
                  <a:schemeClr val="accent3">
                    <a:lumMod val="60000"/>
                    <a:lumOff val="40000"/>
                    <a:lumMod val="75000"/>
                  </a:schemeClr>
                </a:solidFill>
              </a:ln>
              <a:effectLst>
                <a:innerShdw blurRad="114300">
                  <a:schemeClr val="accent3">
                    <a:lumMod val="60000"/>
                    <a:lumOff val="40000"/>
                    <a:lumMod val="75000"/>
                  </a:schemeClr>
                </a:innerShdw>
              </a:effectLst>
              <a:scene3d>
                <a:camera prst="orthographicFront"/>
                <a:lightRig rig="threePt" dir="t"/>
              </a:scene3d>
              <a:sp3d contourW="19050" prstMaterial="flat">
                <a:contourClr>
                  <a:schemeClr val="accent3">
                    <a:lumMod val="60000"/>
                    <a:lumOff val="40000"/>
                    <a:lumMod val="75000"/>
                  </a:schemeClr>
                </a:contourClr>
              </a:sp3d>
            </c:spPr>
            <c:extLst>
              <c:ext xmlns:c16="http://schemas.microsoft.com/office/drawing/2014/chart" uri="{C3380CC4-5D6E-409C-BE32-E72D297353CC}">
                <c16:uniqueId val="{0000001B-0D85-044B-858F-3BF2B2A838EC}"/>
              </c:ext>
            </c:extLst>
          </c:dPt>
          <c:dPt>
            <c:idx val="27"/>
            <c:bubble3D val="0"/>
            <c:spPr>
              <a:solidFill>
                <a:schemeClr val="accent4">
                  <a:lumMod val="60000"/>
                  <a:lumOff val="40000"/>
                  <a:alpha val="90000"/>
                </a:schemeClr>
              </a:solidFill>
              <a:ln w="19050">
                <a:solidFill>
                  <a:schemeClr val="accent4">
                    <a:lumMod val="60000"/>
                    <a:lumOff val="40000"/>
                    <a:lumMod val="75000"/>
                  </a:schemeClr>
                </a:solidFill>
              </a:ln>
              <a:effectLst>
                <a:innerShdw blurRad="114300">
                  <a:schemeClr val="accent4">
                    <a:lumMod val="60000"/>
                    <a:lumOff val="40000"/>
                    <a:lumMod val="75000"/>
                  </a:schemeClr>
                </a:innerShdw>
              </a:effectLst>
              <a:scene3d>
                <a:camera prst="orthographicFront"/>
                <a:lightRig rig="threePt" dir="t"/>
              </a:scene3d>
              <a:sp3d contourW="19050" prstMaterial="flat">
                <a:contourClr>
                  <a:schemeClr val="accent4">
                    <a:lumMod val="60000"/>
                    <a:lumOff val="40000"/>
                    <a:lumMod val="75000"/>
                  </a:schemeClr>
                </a:contourClr>
              </a:sp3d>
            </c:spPr>
            <c:extLst>
              <c:ext xmlns:c16="http://schemas.microsoft.com/office/drawing/2014/chart" uri="{C3380CC4-5D6E-409C-BE32-E72D297353CC}">
                <c16:uniqueId val="{0000001C-0D85-044B-858F-3BF2B2A838EC}"/>
              </c:ext>
            </c:extLst>
          </c:dPt>
          <c:dPt>
            <c:idx val="28"/>
            <c:bubble3D val="0"/>
            <c:spPr>
              <a:solidFill>
                <a:schemeClr val="accent5">
                  <a:lumMod val="60000"/>
                  <a:lumOff val="40000"/>
                  <a:alpha val="90000"/>
                </a:schemeClr>
              </a:solidFill>
              <a:ln w="19050">
                <a:solidFill>
                  <a:schemeClr val="accent5">
                    <a:lumMod val="60000"/>
                    <a:lumOff val="40000"/>
                    <a:lumMod val="75000"/>
                  </a:schemeClr>
                </a:solidFill>
              </a:ln>
              <a:effectLst>
                <a:innerShdw blurRad="114300">
                  <a:schemeClr val="accent5">
                    <a:lumMod val="60000"/>
                    <a:lumOff val="40000"/>
                    <a:lumMod val="75000"/>
                  </a:schemeClr>
                </a:innerShdw>
              </a:effectLst>
              <a:scene3d>
                <a:camera prst="orthographicFront"/>
                <a:lightRig rig="threePt" dir="t"/>
              </a:scene3d>
              <a:sp3d contourW="19050" prstMaterial="flat">
                <a:contourClr>
                  <a:schemeClr val="accent5">
                    <a:lumMod val="60000"/>
                    <a:lumOff val="40000"/>
                    <a:lumMod val="75000"/>
                  </a:schemeClr>
                </a:contourClr>
              </a:sp3d>
            </c:spPr>
            <c:extLst>
              <c:ext xmlns:c16="http://schemas.microsoft.com/office/drawing/2014/chart" uri="{C3380CC4-5D6E-409C-BE32-E72D297353CC}">
                <c16:uniqueId val="{0000001D-0D85-044B-858F-3BF2B2A838EC}"/>
              </c:ext>
            </c:extLst>
          </c:dPt>
          <c:dPt>
            <c:idx val="29"/>
            <c:bubble3D val="0"/>
            <c:spPr>
              <a:solidFill>
                <a:schemeClr val="accent6">
                  <a:lumMod val="60000"/>
                  <a:lumOff val="40000"/>
                  <a:alpha val="90000"/>
                </a:schemeClr>
              </a:solidFill>
              <a:ln w="19050">
                <a:solidFill>
                  <a:schemeClr val="accent6">
                    <a:lumMod val="60000"/>
                    <a:lumOff val="40000"/>
                    <a:lumMod val="75000"/>
                  </a:schemeClr>
                </a:solidFill>
              </a:ln>
              <a:effectLst>
                <a:innerShdw blurRad="114300">
                  <a:schemeClr val="accent6">
                    <a:lumMod val="60000"/>
                    <a:lumOff val="40000"/>
                    <a:lumMod val="75000"/>
                  </a:schemeClr>
                </a:innerShdw>
              </a:effectLst>
              <a:scene3d>
                <a:camera prst="orthographicFront"/>
                <a:lightRig rig="threePt" dir="t"/>
              </a:scene3d>
              <a:sp3d contourW="19050" prstMaterial="flat">
                <a:contourClr>
                  <a:schemeClr val="accent6">
                    <a:lumMod val="60000"/>
                    <a:lumOff val="40000"/>
                    <a:lumMod val="75000"/>
                  </a:schemeClr>
                </a:contourClr>
              </a:sp3d>
            </c:spPr>
            <c:extLst>
              <c:ext xmlns:c16="http://schemas.microsoft.com/office/drawing/2014/chart" uri="{C3380CC4-5D6E-409C-BE32-E72D297353CC}">
                <c16:uniqueId val="{0000001E-0D85-044B-858F-3BF2B2A838EC}"/>
              </c:ext>
            </c:extLst>
          </c:dPt>
          <c:dPt>
            <c:idx val="30"/>
            <c:bubble3D val="0"/>
            <c:spPr>
              <a:solidFill>
                <a:schemeClr val="accent1">
                  <a:lumMod val="50000"/>
                  <a:alpha val="90000"/>
                </a:schemeClr>
              </a:solidFill>
              <a:ln w="19050">
                <a:solidFill>
                  <a:schemeClr val="accent1">
                    <a:lumMod val="50000"/>
                    <a:lumMod val="75000"/>
                  </a:schemeClr>
                </a:solidFill>
              </a:ln>
              <a:effectLst>
                <a:innerShdw blurRad="114300">
                  <a:schemeClr val="accent1">
                    <a:lumMod val="50000"/>
                    <a:lumMod val="75000"/>
                  </a:schemeClr>
                </a:innerShdw>
              </a:effectLst>
              <a:scene3d>
                <a:camera prst="orthographicFront"/>
                <a:lightRig rig="threePt" dir="t"/>
              </a:scene3d>
              <a:sp3d contourW="19050" prstMaterial="flat">
                <a:contourClr>
                  <a:schemeClr val="accent1">
                    <a:lumMod val="50000"/>
                    <a:lumMod val="75000"/>
                  </a:schemeClr>
                </a:contourClr>
              </a:sp3d>
            </c:spPr>
            <c:extLst>
              <c:ext xmlns:c16="http://schemas.microsoft.com/office/drawing/2014/chart" uri="{C3380CC4-5D6E-409C-BE32-E72D297353CC}">
                <c16:uniqueId val="{0000001F-0D85-044B-858F-3BF2B2A838EC}"/>
              </c:ext>
            </c:extLst>
          </c:dPt>
          <c:dPt>
            <c:idx val="31"/>
            <c:bubble3D val="0"/>
            <c:spPr>
              <a:solidFill>
                <a:schemeClr val="accent2">
                  <a:lumMod val="50000"/>
                  <a:alpha val="90000"/>
                </a:schemeClr>
              </a:solidFill>
              <a:ln w="19050">
                <a:solidFill>
                  <a:schemeClr val="accent2">
                    <a:lumMod val="50000"/>
                    <a:lumMod val="75000"/>
                  </a:schemeClr>
                </a:solidFill>
              </a:ln>
              <a:effectLst>
                <a:innerShdw blurRad="114300">
                  <a:schemeClr val="accent2">
                    <a:lumMod val="50000"/>
                    <a:lumMod val="75000"/>
                  </a:schemeClr>
                </a:innerShdw>
              </a:effectLst>
              <a:scene3d>
                <a:camera prst="orthographicFront"/>
                <a:lightRig rig="threePt" dir="t"/>
              </a:scene3d>
              <a:sp3d contourW="19050" prstMaterial="flat">
                <a:contourClr>
                  <a:schemeClr val="accent2">
                    <a:lumMod val="50000"/>
                    <a:lumMod val="75000"/>
                  </a:schemeClr>
                </a:contourClr>
              </a:sp3d>
            </c:spPr>
            <c:extLst>
              <c:ext xmlns:c16="http://schemas.microsoft.com/office/drawing/2014/chart" uri="{C3380CC4-5D6E-409C-BE32-E72D297353CC}">
                <c16:uniqueId val="{00000020-0D85-044B-858F-3BF2B2A838EC}"/>
              </c:ext>
            </c:extLst>
          </c:dPt>
          <c:dPt>
            <c:idx val="32"/>
            <c:bubble3D val="0"/>
            <c:spPr>
              <a:solidFill>
                <a:schemeClr val="accent3">
                  <a:lumMod val="50000"/>
                  <a:alpha val="90000"/>
                </a:schemeClr>
              </a:solidFill>
              <a:ln w="19050">
                <a:solidFill>
                  <a:schemeClr val="accent3">
                    <a:lumMod val="50000"/>
                    <a:lumMod val="75000"/>
                  </a:schemeClr>
                </a:solidFill>
              </a:ln>
              <a:effectLst>
                <a:innerShdw blurRad="114300">
                  <a:schemeClr val="accent3">
                    <a:lumMod val="50000"/>
                    <a:lumMod val="75000"/>
                  </a:schemeClr>
                </a:innerShdw>
              </a:effectLst>
              <a:scene3d>
                <a:camera prst="orthographicFront"/>
                <a:lightRig rig="threePt" dir="t"/>
              </a:scene3d>
              <a:sp3d contourW="19050" prstMaterial="flat">
                <a:contourClr>
                  <a:schemeClr val="accent3">
                    <a:lumMod val="50000"/>
                    <a:lumMod val="75000"/>
                  </a:schemeClr>
                </a:contourClr>
              </a:sp3d>
            </c:spPr>
            <c:extLst>
              <c:ext xmlns:c16="http://schemas.microsoft.com/office/drawing/2014/chart" uri="{C3380CC4-5D6E-409C-BE32-E72D297353CC}">
                <c16:uniqueId val="{00000021-0D85-044B-858F-3BF2B2A838EC}"/>
              </c:ext>
            </c:extLst>
          </c:dPt>
          <c:dPt>
            <c:idx val="33"/>
            <c:bubble3D val="0"/>
            <c:spPr>
              <a:solidFill>
                <a:schemeClr val="accent4">
                  <a:lumMod val="50000"/>
                  <a:alpha val="90000"/>
                </a:schemeClr>
              </a:solidFill>
              <a:ln w="19050">
                <a:solidFill>
                  <a:schemeClr val="accent4">
                    <a:lumMod val="50000"/>
                    <a:lumMod val="75000"/>
                  </a:schemeClr>
                </a:solidFill>
              </a:ln>
              <a:effectLst>
                <a:innerShdw blurRad="114300">
                  <a:schemeClr val="accent4">
                    <a:lumMod val="50000"/>
                    <a:lumMod val="75000"/>
                  </a:schemeClr>
                </a:innerShdw>
              </a:effectLst>
              <a:scene3d>
                <a:camera prst="orthographicFront"/>
                <a:lightRig rig="threePt" dir="t"/>
              </a:scene3d>
              <a:sp3d contourW="19050" prstMaterial="flat">
                <a:contourClr>
                  <a:schemeClr val="accent4">
                    <a:lumMod val="50000"/>
                    <a:lumMod val="75000"/>
                  </a:schemeClr>
                </a:contourClr>
              </a:sp3d>
            </c:spPr>
            <c:extLst>
              <c:ext xmlns:c16="http://schemas.microsoft.com/office/drawing/2014/chart" uri="{C3380CC4-5D6E-409C-BE32-E72D297353CC}">
                <c16:uniqueId val="{00000022-0D85-044B-858F-3BF2B2A838EC}"/>
              </c:ext>
            </c:extLst>
          </c:dPt>
          <c:dPt>
            <c:idx val="34"/>
            <c:bubble3D val="0"/>
            <c:spPr>
              <a:solidFill>
                <a:schemeClr val="accent5">
                  <a:lumMod val="50000"/>
                  <a:alpha val="90000"/>
                </a:schemeClr>
              </a:solidFill>
              <a:ln w="19050">
                <a:solidFill>
                  <a:schemeClr val="accent5">
                    <a:lumMod val="50000"/>
                    <a:lumMod val="75000"/>
                  </a:schemeClr>
                </a:solidFill>
              </a:ln>
              <a:effectLst>
                <a:innerShdw blurRad="114300">
                  <a:schemeClr val="accent5">
                    <a:lumMod val="50000"/>
                    <a:lumMod val="75000"/>
                  </a:schemeClr>
                </a:innerShdw>
              </a:effectLst>
              <a:scene3d>
                <a:camera prst="orthographicFront"/>
                <a:lightRig rig="threePt" dir="t"/>
              </a:scene3d>
              <a:sp3d contourW="19050" prstMaterial="flat">
                <a:contourClr>
                  <a:schemeClr val="accent5">
                    <a:lumMod val="50000"/>
                    <a:lumMod val="75000"/>
                  </a:schemeClr>
                </a:contourClr>
              </a:sp3d>
            </c:spPr>
            <c:extLst>
              <c:ext xmlns:c16="http://schemas.microsoft.com/office/drawing/2014/chart" uri="{C3380CC4-5D6E-409C-BE32-E72D297353CC}">
                <c16:uniqueId val="{00000023-0D85-044B-858F-3BF2B2A838EC}"/>
              </c:ext>
            </c:extLst>
          </c:dPt>
          <c:dPt>
            <c:idx val="35"/>
            <c:bubble3D val="0"/>
            <c:spPr>
              <a:solidFill>
                <a:schemeClr val="accent6">
                  <a:lumMod val="50000"/>
                  <a:alpha val="90000"/>
                </a:schemeClr>
              </a:solidFill>
              <a:ln w="19050">
                <a:solidFill>
                  <a:schemeClr val="accent6">
                    <a:lumMod val="50000"/>
                    <a:lumMod val="75000"/>
                  </a:schemeClr>
                </a:solidFill>
              </a:ln>
              <a:effectLst>
                <a:innerShdw blurRad="114300">
                  <a:schemeClr val="accent6">
                    <a:lumMod val="50000"/>
                    <a:lumMod val="75000"/>
                  </a:schemeClr>
                </a:innerShdw>
              </a:effectLst>
              <a:scene3d>
                <a:camera prst="orthographicFront"/>
                <a:lightRig rig="threePt" dir="t"/>
              </a:scene3d>
              <a:sp3d contourW="19050" prstMaterial="flat">
                <a:contourClr>
                  <a:schemeClr val="accent6">
                    <a:lumMod val="50000"/>
                    <a:lumMod val="75000"/>
                  </a:schemeClr>
                </a:contourClr>
              </a:sp3d>
            </c:spPr>
            <c:extLst>
              <c:ext xmlns:c16="http://schemas.microsoft.com/office/drawing/2014/chart" uri="{C3380CC4-5D6E-409C-BE32-E72D297353CC}">
                <c16:uniqueId val="{00000024-0D85-044B-858F-3BF2B2A838EC}"/>
              </c:ext>
            </c:extLst>
          </c:dPt>
          <c:dPt>
            <c:idx val="36"/>
            <c:bubble3D val="0"/>
            <c:spPr>
              <a:solidFill>
                <a:schemeClr val="accent1">
                  <a:lumMod val="70000"/>
                  <a:lumOff val="30000"/>
                  <a:alpha val="90000"/>
                </a:schemeClr>
              </a:solidFill>
              <a:ln w="19050">
                <a:solidFill>
                  <a:schemeClr val="accent1">
                    <a:lumMod val="70000"/>
                    <a:lumOff val="30000"/>
                    <a:lumMod val="75000"/>
                  </a:schemeClr>
                </a:solidFill>
              </a:ln>
              <a:effectLst>
                <a:innerShdw blurRad="114300">
                  <a:schemeClr val="accent1">
                    <a:lumMod val="70000"/>
                    <a:lumOff val="30000"/>
                    <a:lumMod val="75000"/>
                  </a:schemeClr>
                </a:innerShdw>
              </a:effectLst>
              <a:scene3d>
                <a:camera prst="orthographicFront"/>
                <a:lightRig rig="threePt" dir="t"/>
              </a:scene3d>
              <a:sp3d contourW="19050" prstMaterial="flat">
                <a:contourClr>
                  <a:schemeClr val="accent1">
                    <a:lumMod val="70000"/>
                    <a:lumOff val="30000"/>
                    <a:lumMod val="75000"/>
                  </a:schemeClr>
                </a:contourClr>
              </a:sp3d>
            </c:spPr>
            <c:extLst>
              <c:ext xmlns:c16="http://schemas.microsoft.com/office/drawing/2014/chart" uri="{C3380CC4-5D6E-409C-BE32-E72D297353CC}">
                <c16:uniqueId val="{00000025-0D85-044B-858F-3BF2B2A838EC}"/>
              </c:ext>
            </c:extLst>
          </c:dPt>
          <c:dPt>
            <c:idx val="37"/>
            <c:bubble3D val="0"/>
            <c:spPr>
              <a:solidFill>
                <a:schemeClr val="accent2">
                  <a:lumMod val="70000"/>
                  <a:lumOff val="30000"/>
                  <a:alpha val="90000"/>
                </a:schemeClr>
              </a:solidFill>
              <a:ln w="19050">
                <a:solidFill>
                  <a:schemeClr val="accent2">
                    <a:lumMod val="70000"/>
                    <a:lumOff val="30000"/>
                    <a:lumMod val="75000"/>
                  </a:schemeClr>
                </a:solidFill>
              </a:ln>
              <a:effectLst>
                <a:innerShdw blurRad="114300">
                  <a:schemeClr val="accent2">
                    <a:lumMod val="70000"/>
                    <a:lumOff val="30000"/>
                    <a:lumMod val="75000"/>
                  </a:schemeClr>
                </a:innerShdw>
              </a:effectLst>
              <a:scene3d>
                <a:camera prst="orthographicFront"/>
                <a:lightRig rig="threePt" dir="t"/>
              </a:scene3d>
              <a:sp3d contourW="19050" prstMaterial="flat">
                <a:contourClr>
                  <a:schemeClr val="accent2">
                    <a:lumMod val="70000"/>
                    <a:lumOff val="30000"/>
                    <a:lumMod val="75000"/>
                  </a:schemeClr>
                </a:contourClr>
              </a:sp3d>
            </c:spPr>
            <c:extLst>
              <c:ext xmlns:c16="http://schemas.microsoft.com/office/drawing/2014/chart" uri="{C3380CC4-5D6E-409C-BE32-E72D297353CC}">
                <c16:uniqueId val="{00000026-0D85-044B-858F-3BF2B2A838EC}"/>
              </c:ext>
            </c:extLst>
          </c:dPt>
          <c:dPt>
            <c:idx val="38"/>
            <c:bubble3D val="0"/>
            <c:spPr>
              <a:solidFill>
                <a:schemeClr val="accent3">
                  <a:lumMod val="70000"/>
                  <a:lumOff val="30000"/>
                  <a:alpha val="90000"/>
                </a:schemeClr>
              </a:solidFill>
              <a:ln w="19050">
                <a:solidFill>
                  <a:schemeClr val="accent3">
                    <a:lumMod val="70000"/>
                    <a:lumOff val="30000"/>
                    <a:lumMod val="75000"/>
                  </a:schemeClr>
                </a:solidFill>
              </a:ln>
              <a:effectLst>
                <a:innerShdw blurRad="114300">
                  <a:schemeClr val="accent3">
                    <a:lumMod val="70000"/>
                    <a:lumOff val="30000"/>
                    <a:lumMod val="75000"/>
                  </a:schemeClr>
                </a:innerShdw>
              </a:effectLst>
              <a:scene3d>
                <a:camera prst="orthographicFront"/>
                <a:lightRig rig="threePt" dir="t"/>
              </a:scene3d>
              <a:sp3d contourW="19050" prstMaterial="flat">
                <a:contourClr>
                  <a:schemeClr val="accent3">
                    <a:lumMod val="70000"/>
                    <a:lumOff val="30000"/>
                    <a:lumMod val="75000"/>
                  </a:schemeClr>
                </a:contourClr>
              </a:sp3d>
            </c:spPr>
            <c:extLst>
              <c:ext xmlns:c16="http://schemas.microsoft.com/office/drawing/2014/chart" uri="{C3380CC4-5D6E-409C-BE32-E72D297353CC}">
                <c16:uniqueId val="{00000027-0D85-044B-858F-3BF2B2A838EC}"/>
              </c:ext>
            </c:extLst>
          </c:dPt>
          <c:dPt>
            <c:idx val="39"/>
            <c:bubble3D val="0"/>
            <c:spPr>
              <a:solidFill>
                <a:schemeClr val="accent4">
                  <a:lumMod val="70000"/>
                  <a:lumOff val="30000"/>
                  <a:alpha val="90000"/>
                </a:schemeClr>
              </a:solidFill>
              <a:ln w="19050">
                <a:solidFill>
                  <a:schemeClr val="accent4">
                    <a:lumMod val="70000"/>
                    <a:lumOff val="30000"/>
                    <a:lumMod val="75000"/>
                  </a:schemeClr>
                </a:solidFill>
              </a:ln>
              <a:effectLst>
                <a:innerShdw blurRad="114300">
                  <a:schemeClr val="accent4">
                    <a:lumMod val="70000"/>
                    <a:lumOff val="30000"/>
                    <a:lumMod val="75000"/>
                  </a:schemeClr>
                </a:innerShdw>
              </a:effectLst>
              <a:scene3d>
                <a:camera prst="orthographicFront"/>
                <a:lightRig rig="threePt" dir="t"/>
              </a:scene3d>
              <a:sp3d contourW="19050" prstMaterial="flat">
                <a:contourClr>
                  <a:schemeClr val="accent4">
                    <a:lumMod val="70000"/>
                    <a:lumOff val="30000"/>
                    <a:lumMod val="75000"/>
                  </a:schemeClr>
                </a:contourClr>
              </a:sp3d>
            </c:spPr>
            <c:extLst>
              <c:ext xmlns:c16="http://schemas.microsoft.com/office/drawing/2014/chart" uri="{C3380CC4-5D6E-409C-BE32-E72D297353CC}">
                <c16:uniqueId val="{00000028-0D85-044B-858F-3BF2B2A838EC}"/>
              </c:ext>
            </c:extLst>
          </c:dPt>
          <c:dPt>
            <c:idx val="40"/>
            <c:bubble3D val="0"/>
            <c:spPr>
              <a:solidFill>
                <a:schemeClr val="accent5">
                  <a:lumMod val="70000"/>
                  <a:lumOff val="30000"/>
                  <a:alpha val="90000"/>
                </a:schemeClr>
              </a:solidFill>
              <a:ln w="19050">
                <a:solidFill>
                  <a:schemeClr val="accent5">
                    <a:lumMod val="70000"/>
                    <a:lumOff val="30000"/>
                    <a:lumMod val="75000"/>
                  </a:schemeClr>
                </a:solidFill>
              </a:ln>
              <a:effectLst>
                <a:innerShdw blurRad="114300">
                  <a:schemeClr val="accent5">
                    <a:lumMod val="70000"/>
                    <a:lumOff val="30000"/>
                    <a:lumMod val="75000"/>
                  </a:schemeClr>
                </a:innerShdw>
              </a:effectLst>
              <a:scene3d>
                <a:camera prst="orthographicFront"/>
                <a:lightRig rig="threePt" dir="t"/>
              </a:scene3d>
              <a:sp3d contourW="19050" prstMaterial="flat">
                <a:contourClr>
                  <a:schemeClr val="accent5">
                    <a:lumMod val="70000"/>
                    <a:lumOff val="30000"/>
                    <a:lumMod val="75000"/>
                  </a:schemeClr>
                </a:contourClr>
              </a:sp3d>
            </c:spPr>
            <c:extLst>
              <c:ext xmlns:c16="http://schemas.microsoft.com/office/drawing/2014/chart" uri="{C3380CC4-5D6E-409C-BE32-E72D297353CC}">
                <c16:uniqueId val="{00000029-0D85-044B-858F-3BF2B2A838EC}"/>
              </c:ext>
            </c:extLst>
          </c:dPt>
          <c:dPt>
            <c:idx val="41"/>
            <c:bubble3D val="0"/>
            <c:spPr>
              <a:solidFill>
                <a:schemeClr val="accent6">
                  <a:lumMod val="70000"/>
                  <a:lumOff val="30000"/>
                  <a:alpha val="90000"/>
                </a:schemeClr>
              </a:solidFill>
              <a:ln w="19050">
                <a:solidFill>
                  <a:schemeClr val="accent6">
                    <a:lumMod val="70000"/>
                    <a:lumOff val="30000"/>
                    <a:lumMod val="75000"/>
                  </a:schemeClr>
                </a:solidFill>
              </a:ln>
              <a:effectLst>
                <a:innerShdw blurRad="114300">
                  <a:schemeClr val="accent6">
                    <a:lumMod val="70000"/>
                    <a:lumOff val="30000"/>
                    <a:lumMod val="75000"/>
                  </a:schemeClr>
                </a:innerShdw>
              </a:effectLst>
              <a:scene3d>
                <a:camera prst="orthographicFront"/>
                <a:lightRig rig="threePt" dir="t"/>
              </a:scene3d>
              <a:sp3d contourW="19050" prstMaterial="flat">
                <a:contourClr>
                  <a:schemeClr val="accent6">
                    <a:lumMod val="70000"/>
                    <a:lumOff val="30000"/>
                    <a:lumMod val="75000"/>
                  </a:schemeClr>
                </a:contourClr>
              </a:sp3d>
            </c:spPr>
            <c:extLst>
              <c:ext xmlns:c16="http://schemas.microsoft.com/office/drawing/2014/chart" uri="{C3380CC4-5D6E-409C-BE32-E72D297353CC}">
                <c16:uniqueId val="{0000002A-0D85-044B-858F-3BF2B2A838EC}"/>
              </c:ext>
            </c:extLst>
          </c:dPt>
          <c:dPt>
            <c:idx val="42"/>
            <c:bubble3D val="0"/>
            <c:spPr>
              <a:solidFill>
                <a:schemeClr val="accent1">
                  <a:lumMod val="70000"/>
                  <a:alpha val="90000"/>
                </a:schemeClr>
              </a:solidFill>
              <a:ln w="19050">
                <a:solidFill>
                  <a:schemeClr val="accent1">
                    <a:lumMod val="70000"/>
                    <a:lumMod val="75000"/>
                  </a:schemeClr>
                </a:solidFill>
              </a:ln>
              <a:effectLst>
                <a:innerShdw blurRad="114300">
                  <a:schemeClr val="accent1">
                    <a:lumMod val="70000"/>
                    <a:lumMod val="75000"/>
                  </a:schemeClr>
                </a:innerShdw>
              </a:effectLst>
              <a:scene3d>
                <a:camera prst="orthographicFront"/>
                <a:lightRig rig="threePt" dir="t"/>
              </a:scene3d>
              <a:sp3d contourW="19050" prstMaterial="flat">
                <a:contourClr>
                  <a:schemeClr val="accent1">
                    <a:lumMod val="70000"/>
                    <a:lumMod val="75000"/>
                  </a:schemeClr>
                </a:contourClr>
              </a:sp3d>
            </c:spPr>
            <c:extLst>
              <c:ext xmlns:c16="http://schemas.microsoft.com/office/drawing/2014/chart" uri="{C3380CC4-5D6E-409C-BE32-E72D297353CC}">
                <c16:uniqueId val="{0000002B-0D85-044B-858F-3BF2B2A838EC}"/>
              </c:ext>
            </c:extLst>
          </c:dPt>
          <c:dPt>
            <c:idx val="43"/>
            <c:bubble3D val="0"/>
            <c:spPr>
              <a:solidFill>
                <a:schemeClr val="accent2">
                  <a:lumMod val="70000"/>
                  <a:alpha val="90000"/>
                </a:schemeClr>
              </a:solidFill>
              <a:ln w="19050">
                <a:solidFill>
                  <a:schemeClr val="accent2">
                    <a:lumMod val="70000"/>
                    <a:lumMod val="75000"/>
                  </a:schemeClr>
                </a:solidFill>
              </a:ln>
              <a:effectLst>
                <a:innerShdw blurRad="114300">
                  <a:schemeClr val="accent2">
                    <a:lumMod val="70000"/>
                    <a:lumMod val="75000"/>
                  </a:schemeClr>
                </a:innerShdw>
              </a:effectLst>
              <a:scene3d>
                <a:camera prst="orthographicFront"/>
                <a:lightRig rig="threePt" dir="t"/>
              </a:scene3d>
              <a:sp3d contourW="19050" prstMaterial="flat">
                <a:contourClr>
                  <a:schemeClr val="accent2">
                    <a:lumMod val="70000"/>
                    <a:lumMod val="75000"/>
                  </a:schemeClr>
                </a:contourClr>
              </a:sp3d>
            </c:spPr>
            <c:extLst>
              <c:ext xmlns:c16="http://schemas.microsoft.com/office/drawing/2014/chart" uri="{C3380CC4-5D6E-409C-BE32-E72D297353CC}">
                <c16:uniqueId val="{0000002C-0D85-044B-858F-3BF2B2A838EC}"/>
              </c:ext>
            </c:extLst>
          </c:dPt>
          <c:dPt>
            <c:idx val="44"/>
            <c:bubble3D val="0"/>
            <c:spPr>
              <a:solidFill>
                <a:schemeClr val="accent3">
                  <a:lumMod val="70000"/>
                  <a:alpha val="90000"/>
                </a:schemeClr>
              </a:solidFill>
              <a:ln w="19050">
                <a:solidFill>
                  <a:schemeClr val="accent3">
                    <a:lumMod val="70000"/>
                    <a:lumMod val="75000"/>
                  </a:schemeClr>
                </a:solidFill>
              </a:ln>
              <a:effectLst>
                <a:innerShdw blurRad="114300">
                  <a:schemeClr val="accent3">
                    <a:lumMod val="70000"/>
                    <a:lumMod val="75000"/>
                  </a:schemeClr>
                </a:innerShdw>
              </a:effectLst>
              <a:scene3d>
                <a:camera prst="orthographicFront"/>
                <a:lightRig rig="threePt" dir="t"/>
              </a:scene3d>
              <a:sp3d contourW="19050" prstMaterial="flat">
                <a:contourClr>
                  <a:schemeClr val="accent3">
                    <a:lumMod val="70000"/>
                    <a:lumMod val="75000"/>
                  </a:schemeClr>
                </a:contourClr>
              </a:sp3d>
            </c:spPr>
            <c:extLst>
              <c:ext xmlns:c16="http://schemas.microsoft.com/office/drawing/2014/chart" uri="{C3380CC4-5D6E-409C-BE32-E72D297353CC}">
                <c16:uniqueId val="{0000002D-0D85-044B-858F-3BF2B2A838EC}"/>
              </c:ext>
            </c:extLst>
          </c:dPt>
          <c:dPt>
            <c:idx val="45"/>
            <c:bubble3D val="0"/>
            <c:spPr>
              <a:solidFill>
                <a:schemeClr val="accent4">
                  <a:lumMod val="70000"/>
                  <a:alpha val="90000"/>
                </a:schemeClr>
              </a:solidFill>
              <a:ln w="19050">
                <a:solidFill>
                  <a:schemeClr val="accent4">
                    <a:lumMod val="70000"/>
                    <a:lumMod val="75000"/>
                  </a:schemeClr>
                </a:solidFill>
              </a:ln>
              <a:effectLst>
                <a:innerShdw blurRad="114300">
                  <a:schemeClr val="accent4">
                    <a:lumMod val="70000"/>
                    <a:lumMod val="75000"/>
                  </a:schemeClr>
                </a:innerShdw>
              </a:effectLst>
              <a:scene3d>
                <a:camera prst="orthographicFront"/>
                <a:lightRig rig="threePt" dir="t"/>
              </a:scene3d>
              <a:sp3d contourW="19050" prstMaterial="flat">
                <a:contourClr>
                  <a:schemeClr val="accent4">
                    <a:lumMod val="70000"/>
                    <a:lumMod val="75000"/>
                  </a:schemeClr>
                </a:contourClr>
              </a:sp3d>
            </c:spPr>
            <c:extLst>
              <c:ext xmlns:c16="http://schemas.microsoft.com/office/drawing/2014/chart" uri="{C3380CC4-5D6E-409C-BE32-E72D297353CC}">
                <c16:uniqueId val="{0000002E-0D85-044B-858F-3BF2B2A838EC}"/>
              </c:ext>
            </c:extLst>
          </c:dPt>
          <c:dPt>
            <c:idx val="46"/>
            <c:bubble3D val="0"/>
            <c:spPr>
              <a:solidFill>
                <a:schemeClr val="accent5">
                  <a:lumMod val="70000"/>
                  <a:alpha val="90000"/>
                </a:schemeClr>
              </a:solidFill>
              <a:ln w="19050">
                <a:solidFill>
                  <a:schemeClr val="accent5">
                    <a:lumMod val="70000"/>
                    <a:lumMod val="75000"/>
                  </a:schemeClr>
                </a:solidFill>
              </a:ln>
              <a:effectLst>
                <a:innerShdw blurRad="114300">
                  <a:schemeClr val="accent5">
                    <a:lumMod val="70000"/>
                    <a:lumMod val="75000"/>
                  </a:schemeClr>
                </a:innerShdw>
              </a:effectLst>
              <a:scene3d>
                <a:camera prst="orthographicFront"/>
                <a:lightRig rig="threePt" dir="t"/>
              </a:scene3d>
              <a:sp3d contourW="19050" prstMaterial="flat">
                <a:contourClr>
                  <a:schemeClr val="accent5">
                    <a:lumMod val="70000"/>
                    <a:lumMod val="75000"/>
                  </a:schemeClr>
                </a:contourClr>
              </a:sp3d>
            </c:spPr>
            <c:extLst>
              <c:ext xmlns:c16="http://schemas.microsoft.com/office/drawing/2014/chart" uri="{C3380CC4-5D6E-409C-BE32-E72D297353CC}">
                <c16:uniqueId val="{0000002F-0D85-044B-858F-3BF2B2A838EC}"/>
              </c:ext>
            </c:extLst>
          </c:dPt>
          <c:dPt>
            <c:idx val="47"/>
            <c:bubble3D val="0"/>
            <c:spPr>
              <a:solidFill>
                <a:schemeClr val="accent6">
                  <a:lumMod val="70000"/>
                  <a:alpha val="90000"/>
                </a:schemeClr>
              </a:solidFill>
              <a:ln w="19050">
                <a:solidFill>
                  <a:schemeClr val="accent6">
                    <a:lumMod val="70000"/>
                    <a:lumMod val="75000"/>
                  </a:schemeClr>
                </a:solidFill>
              </a:ln>
              <a:effectLst>
                <a:innerShdw blurRad="114300">
                  <a:schemeClr val="accent6">
                    <a:lumMod val="70000"/>
                    <a:lumMod val="75000"/>
                  </a:schemeClr>
                </a:innerShdw>
              </a:effectLst>
              <a:scene3d>
                <a:camera prst="orthographicFront"/>
                <a:lightRig rig="threePt" dir="t"/>
              </a:scene3d>
              <a:sp3d contourW="19050" prstMaterial="flat">
                <a:contourClr>
                  <a:schemeClr val="accent6">
                    <a:lumMod val="70000"/>
                    <a:lumMod val="75000"/>
                  </a:schemeClr>
                </a:contourClr>
              </a:sp3d>
            </c:spPr>
            <c:extLst>
              <c:ext xmlns:c16="http://schemas.microsoft.com/office/drawing/2014/chart" uri="{C3380CC4-5D6E-409C-BE32-E72D297353CC}">
                <c16:uniqueId val="{00000030-0D85-044B-858F-3BF2B2A838EC}"/>
              </c:ext>
            </c:extLst>
          </c:dPt>
          <c:dPt>
            <c:idx val="48"/>
            <c:bubble3D val="0"/>
            <c:spPr>
              <a:solidFill>
                <a:schemeClr val="accent1">
                  <a:lumMod val="50000"/>
                  <a:lumOff val="50000"/>
                  <a:alpha val="90000"/>
                </a:schemeClr>
              </a:solidFill>
              <a:ln w="19050">
                <a:solidFill>
                  <a:schemeClr val="accent1">
                    <a:lumMod val="50000"/>
                    <a:lumOff val="50000"/>
                    <a:lumMod val="75000"/>
                  </a:schemeClr>
                </a:solidFill>
              </a:ln>
              <a:effectLst>
                <a:innerShdw blurRad="114300">
                  <a:schemeClr val="accent1">
                    <a:lumMod val="50000"/>
                    <a:lumOff val="50000"/>
                    <a:lumMod val="75000"/>
                  </a:schemeClr>
                </a:innerShdw>
              </a:effectLst>
              <a:scene3d>
                <a:camera prst="orthographicFront"/>
                <a:lightRig rig="threePt" dir="t"/>
              </a:scene3d>
              <a:sp3d contourW="19050" prstMaterial="flat">
                <a:contourClr>
                  <a:schemeClr val="accent1">
                    <a:lumMod val="50000"/>
                    <a:lumOff val="50000"/>
                    <a:lumMod val="75000"/>
                  </a:schemeClr>
                </a:contourClr>
              </a:sp3d>
            </c:spPr>
            <c:extLst>
              <c:ext xmlns:c16="http://schemas.microsoft.com/office/drawing/2014/chart" uri="{C3380CC4-5D6E-409C-BE32-E72D297353CC}">
                <c16:uniqueId val="{00000031-0D85-044B-858F-3BF2B2A838EC}"/>
              </c:ext>
            </c:extLst>
          </c:dPt>
          <c:dPt>
            <c:idx val="49"/>
            <c:bubble3D val="0"/>
            <c:spPr>
              <a:solidFill>
                <a:schemeClr val="accent2">
                  <a:lumMod val="50000"/>
                  <a:lumOff val="50000"/>
                  <a:alpha val="90000"/>
                </a:schemeClr>
              </a:solidFill>
              <a:ln w="19050">
                <a:solidFill>
                  <a:schemeClr val="accent2">
                    <a:lumMod val="50000"/>
                    <a:lumOff val="50000"/>
                    <a:lumMod val="75000"/>
                  </a:schemeClr>
                </a:solidFill>
              </a:ln>
              <a:effectLst>
                <a:innerShdw blurRad="114300">
                  <a:schemeClr val="accent2">
                    <a:lumMod val="50000"/>
                    <a:lumOff val="50000"/>
                    <a:lumMod val="75000"/>
                  </a:schemeClr>
                </a:innerShdw>
              </a:effectLst>
              <a:scene3d>
                <a:camera prst="orthographicFront"/>
                <a:lightRig rig="threePt" dir="t"/>
              </a:scene3d>
              <a:sp3d contourW="19050" prstMaterial="flat">
                <a:contourClr>
                  <a:schemeClr val="accent2">
                    <a:lumMod val="50000"/>
                    <a:lumOff val="50000"/>
                    <a:lumMod val="75000"/>
                  </a:schemeClr>
                </a:contourClr>
              </a:sp3d>
            </c:spPr>
            <c:extLst>
              <c:ext xmlns:c16="http://schemas.microsoft.com/office/drawing/2014/chart" uri="{C3380CC4-5D6E-409C-BE32-E72D297353CC}">
                <c16:uniqueId val="{00000032-0D85-044B-858F-3BF2B2A838EC}"/>
              </c:ext>
            </c:extLst>
          </c:dPt>
          <c:dPt>
            <c:idx val="50"/>
            <c:bubble3D val="0"/>
            <c:spPr>
              <a:solidFill>
                <a:schemeClr val="accent3">
                  <a:lumMod val="50000"/>
                  <a:lumOff val="50000"/>
                  <a:alpha val="90000"/>
                </a:schemeClr>
              </a:solidFill>
              <a:ln w="19050">
                <a:solidFill>
                  <a:schemeClr val="accent3">
                    <a:lumMod val="50000"/>
                    <a:lumOff val="50000"/>
                    <a:lumMod val="75000"/>
                  </a:schemeClr>
                </a:solidFill>
              </a:ln>
              <a:effectLst>
                <a:innerShdw blurRad="114300">
                  <a:schemeClr val="accent3">
                    <a:lumMod val="50000"/>
                    <a:lumOff val="50000"/>
                    <a:lumMod val="75000"/>
                  </a:schemeClr>
                </a:innerShdw>
              </a:effectLst>
              <a:scene3d>
                <a:camera prst="orthographicFront"/>
                <a:lightRig rig="threePt" dir="t"/>
              </a:scene3d>
              <a:sp3d contourW="19050" prstMaterial="flat">
                <a:contourClr>
                  <a:schemeClr val="accent3">
                    <a:lumMod val="50000"/>
                    <a:lumOff val="50000"/>
                    <a:lumMod val="75000"/>
                  </a:schemeClr>
                </a:contourClr>
              </a:sp3d>
            </c:spPr>
            <c:extLst>
              <c:ext xmlns:c16="http://schemas.microsoft.com/office/drawing/2014/chart" uri="{C3380CC4-5D6E-409C-BE32-E72D297353CC}">
                <c16:uniqueId val="{00000033-0D85-044B-858F-3BF2B2A838EC}"/>
              </c:ext>
            </c:extLst>
          </c:dPt>
          <c:dPt>
            <c:idx val="51"/>
            <c:bubble3D val="0"/>
            <c:spPr>
              <a:solidFill>
                <a:schemeClr val="accent4">
                  <a:lumMod val="50000"/>
                  <a:lumOff val="50000"/>
                  <a:alpha val="90000"/>
                </a:schemeClr>
              </a:solidFill>
              <a:ln w="19050">
                <a:solidFill>
                  <a:schemeClr val="accent4">
                    <a:lumMod val="50000"/>
                    <a:lumOff val="50000"/>
                    <a:lumMod val="75000"/>
                  </a:schemeClr>
                </a:solidFill>
              </a:ln>
              <a:effectLst>
                <a:innerShdw blurRad="114300">
                  <a:schemeClr val="accent4">
                    <a:lumMod val="50000"/>
                    <a:lumOff val="50000"/>
                    <a:lumMod val="75000"/>
                  </a:schemeClr>
                </a:innerShdw>
              </a:effectLst>
              <a:scene3d>
                <a:camera prst="orthographicFront"/>
                <a:lightRig rig="threePt" dir="t"/>
              </a:scene3d>
              <a:sp3d contourW="19050" prstMaterial="flat">
                <a:contourClr>
                  <a:schemeClr val="accent4">
                    <a:lumMod val="50000"/>
                    <a:lumOff val="50000"/>
                    <a:lumMod val="75000"/>
                  </a:schemeClr>
                </a:contourClr>
              </a:sp3d>
            </c:spPr>
            <c:extLst>
              <c:ext xmlns:c16="http://schemas.microsoft.com/office/drawing/2014/chart" uri="{C3380CC4-5D6E-409C-BE32-E72D297353CC}">
                <c16:uniqueId val="{00000034-0D85-044B-858F-3BF2B2A838EC}"/>
              </c:ext>
            </c:extLst>
          </c:dPt>
          <c:dPt>
            <c:idx val="52"/>
            <c:bubble3D val="0"/>
            <c:spPr>
              <a:solidFill>
                <a:schemeClr val="accent5">
                  <a:lumMod val="50000"/>
                  <a:lumOff val="50000"/>
                  <a:alpha val="90000"/>
                </a:schemeClr>
              </a:solidFill>
              <a:ln w="19050">
                <a:solidFill>
                  <a:schemeClr val="accent5">
                    <a:lumMod val="50000"/>
                    <a:lumOff val="50000"/>
                    <a:lumMod val="75000"/>
                  </a:schemeClr>
                </a:solidFill>
              </a:ln>
              <a:effectLst>
                <a:innerShdw blurRad="114300">
                  <a:schemeClr val="accent5">
                    <a:lumMod val="50000"/>
                    <a:lumOff val="50000"/>
                    <a:lumMod val="75000"/>
                  </a:schemeClr>
                </a:innerShdw>
              </a:effectLst>
              <a:scene3d>
                <a:camera prst="orthographicFront"/>
                <a:lightRig rig="threePt" dir="t"/>
              </a:scene3d>
              <a:sp3d contourW="19050" prstMaterial="flat">
                <a:contourClr>
                  <a:schemeClr val="accent5">
                    <a:lumMod val="50000"/>
                    <a:lumOff val="50000"/>
                    <a:lumMod val="75000"/>
                  </a:schemeClr>
                </a:contourClr>
              </a:sp3d>
            </c:spPr>
            <c:extLst>
              <c:ext xmlns:c16="http://schemas.microsoft.com/office/drawing/2014/chart" uri="{C3380CC4-5D6E-409C-BE32-E72D297353CC}">
                <c16:uniqueId val="{00000035-0D85-044B-858F-3BF2B2A838EC}"/>
              </c:ext>
            </c:extLst>
          </c:dPt>
          <c:dPt>
            <c:idx val="53"/>
            <c:bubble3D val="0"/>
            <c:spPr>
              <a:solidFill>
                <a:schemeClr val="accent6">
                  <a:lumMod val="50000"/>
                  <a:lumOff val="50000"/>
                  <a:alpha val="90000"/>
                </a:schemeClr>
              </a:solidFill>
              <a:ln w="19050">
                <a:solidFill>
                  <a:schemeClr val="accent6">
                    <a:lumMod val="50000"/>
                    <a:lumOff val="50000"/>
                    <a:lumMod val="75000"/>
                  </a:schemeClr>
                </a:solidFill>
              </a:ln>
              <a:effectLst>
                <a:innerShdw blurRad="114300">
                  <a:schemeClr val="accent6">
                    <a:lumMod val="50000"/>
                    <a:lumOff val="50000"/>
                    <a:lumMod val="75000"/>
                  </a:schemeClr>
                </a:innerShdw>
              </a:effectLst>
              <a:scene3d>
                <a:camera prst="orthographicFront"/>
                <a:lightRig rig="threePt" dir="t"/>
              </a:scene3d>
              <a:sp3d contourW="19050" prstMaterial="flat">
                <a:contourClr>
                  <a:schemeClr val="accent6">
                    <a:lumMod val="50000"/>
                    <a:lumOff val="50000"/>
                    <a:lumMod val="75000"/>
                  </a:schemeClr>
                </a:contourClr>
              </a:sp3d>
            </c:spPr>
            <c:extLst>
              <c:ext xmlns:c16="http://schemas.microsoft.com/office/drawing/2014/chart" uri="{C3380CC4-5D6E-409C-BE32-E72D297353CC}">
                <c16:uniqueId val="{00000036-0D85-044B-858F-3BF2B2A838EC}"/>
              </c:ext>
            </c:extLst>
          </c:dPt>
          <c:dPt>
            <c:idx val="54"/>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37-0D85-044B-858F-3BF2B2A838EC}"/>
              </c:ext>
            </c:extLst>
          </c:dPt>
          <c:dPt>
            <c:idx val="55"/>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38-0D85-044B-858F-3BF2B2A838EC}"/>
              </c:ext>
            </c:extLst>
          </c:dPt>
          <c:dPt>
            <c:idx val="56"/>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39-0D85-044B-858F-3BF2B2A838EC}"/>
              </c:ext>
            </c:extLst>
          </c:dPt>
          <c:dPt>
            <c:idx val="57"/>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3A-0D85-044B-858F-3BF2B2A838EC}"/>
              </c:ext>
            </c:extLst>
          </c:dPt>
          <c:dPt>
            <c:idx val="58"/>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3B-0D85-044B-858F-3BF2B2A838EC}"/>
              </c:ext>
            </c:extLst>
          </c:dPt>
          <c:dPt>
            <c:idx val="59"/>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3C-0D85-044B-858F-3BF2B2A838EC}"/>
              </c:ext>
            </c:extLst>
          </c:dPt>
          <c:dPt>
            <c:idx val="60"/>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3D-0D85-044B-858F-3BF2B2A838EC}"/>
              </c:ext>
            </c:extLst>
          </c:dPt>
          <c:dPt>
            <c:idx val="61"/>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3E-0D85-044B-858F-3BF2B2A838EC}"/>
              </c:ext>
            </c:extLst>
          </c:dPt>
          <c:dPt>
            <c:idx val="62"/>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3F-0D85-044B-858F-3BF2B2A838EC}"/>
              </c:ext>
            </c:extLst>
          </c:dPt>
          <c:dPt>
            <c:idx val="63"/>
            <c:bubble3D val="0"/>
            <c:spPr>
              <a:solidFill>
                <a:schemeClr val="accent4">
                  <a:lumMod val="6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40-0D85-044B-858F-3BF2B2A838EC}"/>
              </c:ext>
            </c:extLst>
          </c:dPt>
          <c:dPt>
            <c:idx val="64"/>
            <c:bubble3D val="0"/>
            <c:spPr>
              <a:solidFill>
                <a:schemeClr val="accent5">
                  <a:lumMod val="60000"/>
                  <a:alpha val="90000"/>
                </a:schemeClr>
              </a:solidFill>
              <a:ln w="19050">
                <a:solidFill>
                  <a:schemeClr val="accent5">
                    <a:lumMod val="60000"/>
                    <a:lumMod val="75000"/>
                  </a:schemeClr>
                </a:solidFill>
              </a:ln>
              <a:effectLst>
                <a:innerShdw blurRad="114300">
                  <a:schemeClr val="accent5">
                    <a:lumMod val="60000"/>
                    <a:lumMod val="75000"/>
                  </a:schemeClr>
                </a:innerShdw>
              </a:effectLst>
              <a:scene3d>
                <a:camera prst="orthographicFront"/>
                <a:lightRig rig="threePt" dir="t"/>
              </a:scene3d>
              <a:sp3d contourW="19050" prstMaterial="flat">
                <a:contourClr>
                  <a:schemeClr val="accent5">
                    <a:lumMod val="60000"/>
                    <a:lumMod val="75000"/>
                  </a:schemeClr>
                </a:contourClr>
              </a:sp3d>
            </c:spPr>
            <c:extLst>
              <c:ext xmlns:c16="http://schemas.microsoft.com/office/drawing/2014/chart" uri="{C3380CC4-5D6E-409C-BE32-E72D297353CC}">
                <c16:uniqueId val="{00000041-0D85-044B-858F-3BF2B2A838EC}"/>
              </c:ext>
            </c:extLst>
          </c:dPt>
          <c:dPt>
            <c:idx val="65"/>
            <c:bubble3D val="0"/>
            <c:spPr>
              <a:solidFill>
                <a:schemeClr val="accent6">
                  <a:lumMod val="60000"/>
                  <a:alpha val="90000"/>
                </a:schemeClr>
              </a:solidFill>
              <a:ln w="19050">
                <a:solidFill>
                  <a:schemeClr val="accent6">
                    <a:lumMod val="60000"/>
                    <a:lumMod val="75000"/>
                  </a:schemeClr>
                </a:solidFill>
              </a:ln>
              <a:effectLst>
                <a:innerShdw blurRad="114300">
                  <a:schemeClr val="accent6">
                    <a:lumMod val="60000"/>
                    <a:lumMod val="75000"/>
                  </a:schemeClr>
                </a:innerShdw>
              </a:effectLst>
              <a:scene3d>
                <a:camera prst="orthographicFront"/>
                <a:lightRig rig="threePt" dir="t"/>
              </a:scene3d>
              <a:sp3d contourW="19050" prstMaterial="flat">
                <a:contourClr>
                  <a:schemeClr val="accent6">
                    <a:lumMod val="60000"/>
                    <a:lumMod val="75000"/>
                  </a:schemeClr>
                </a:contourClr>
              </a:sp3d>
            </c:spPr>
            <c:extLst>
              <c:ext xmlns:c16="http://schemas.microsoft.com/office/drawing/2014/chart" uri="{C3380CC4-5D6E-409C-BE32-E72D297353CC}">
                <c16:uniqueId val="{00000042-0D85-044B-858F-3BF2B2A838EC}"/>
              </c:ext>
            </c:extLst>
          </c:dPt>
          <c:dPt>
            <c:idx val="66"/>
            <c:bubble3D val="0"/>
            <c:spPr>
              <a:solidFill>
                <a:schemeClr val="accent1">
                  <a:lumMod val="80000"/>
                  <a:lumOff val="20000"/>
                  <a:alpha val="90000"/>
                </a:schemeClr>
              </a:solidFill>
              <a:ln w="19050">
                <a:solidFill>
                  <a:schemeClr val="accent1">
                    <a:lumMod val="80000"/>
                    <a:lumOff val="20000"/>
                    <a:lumMod val="75000"/>
                  </a:schemeClr>
                </a:solidFill>
              </a:ln>
              <a:effectLst>
                <a:innerShdw blurRad="114300">
                  <a:schemeClr val="accent1">
                    <a:lumMod val="80000"/>
                    <a:lumOff val="20000"/>
                    <a:lumMod val="75000"/>
                  </a:schemeClr>
                </a:innerShdw>
              </a:effectLst>
              <a:scene3d>
                <a:camera prst="orthographicFront"/>
                <a:lightRig rig="threePt" dir="t"/>
              </a:scene3d>
              <a:sp3d contourW="19050" prstMaterial="flat">
                <a:contourClr>
                  <a:schemeClr val="accent1">
                    <a:lumMod val="80000"/>
                    <a:lumOff val="20000"/>
                    <a:lumMod val="75000"/>
                  </a:schemeClr>
                </a:contourClr>
              </a:sp3d>
            </c:spPr>
            <c:extLst>
              <c:ext xmlns:c16="http://schemas.microsoft.com/office/drawing/2014/chart" uri="{C3380CC4-5D6E-409C-BE32-E72D297353CC}">
                <c16:uniqueId val="{00000043-0D85-044B-858F-3BF2B2A838EC}"/>
              </c:ext>
            </c:extLst>
          </c:dPt>
          <c:dPt>
            <c:idx val="67"/>
            <c:bubble3D val="0"/>
            <c:spPr>
              <a:solidFill>
                <a:schemeClr val="accent2">
                  <a:lumMod val="80000"/>
                  <a:lumOff val="20000"/>
                  <a:alpha val="90000"/>
                </a:schemeClr>
              </a:solidFill>
              <a:ln w="19050">
                <a:solidFill>
                  <a:schemeClr val="accent2">
                    <a:lumMod val="80000"/>
                    <a:lumOff val="20000"/>
                    <a:lumMod val="75000"/>
                  </a:schemeClr>
                </a:solidFill>
              </a:ln>
              <a:effectLst>
                <a:innerShdw blurRad="114300">
                  <a:schemeClr val="accent2">
                    <a:lumMod val="80000"/>
                    <a:lumOff val="20000"/>
                    <a:lumMod val="75000"/>
                  </a:schemeClr>
                </a:innerShdw>
              </a:effectLst>
              <a:scene3d>
                <a:camera prst="orthographicFront"/>
                <a:lightRig rig="threePt" dir="t"/>
              </a:scene3d>
              <a:sp3d contourW="19050" prstMaterial="flat">
                <a:contourClr>
                  <a:schemeClr val="accent2">
                    <a:lumMod val="80000"/>
                    <a:lumOff val="20000"/>
                    <a:lumMod val="75000"/>
                  </a:schemeClr>
                </a:contourClr>
              </a:sp3d>
            </c:spPr>
            <c:extLst>
              <c:ext xmlns:c16="http://schemas.microsoft.com/office/drawing/2014/chart" uri="{C3380CC4-5D6E-409C-BE32-E72D297353CC}">
                <c16:uniqueId val="{00000044-0D85-044B-858F-3BF2B2A838EC}"/>
              </c:ext>
            </c:extLst>
          </c:dPt>
          <c:dPt>
            <c:idx val="68"/>
            <c:bubble3D val="0"/>
            <c:spPr>
              <a:solidFill>
                <a:schemeClr val="accent3">
                  <a:lumMod val="80000"/>
                  <a:lumOff val="20000"/>
                  <a:alpha val="90000"/>
                </a:schemeClr>
              </a:solidFill>
              <a:ln w="19050">
                <a:solidFill>
                  <a:schemeClr val="accent3">
                    <a:lumMod val="80000"/>
                    <a:lumOff val="20000"/>
                    <a:lumMod val="75000"/>
                  </a:schemeClr>
                </a:solidFill>
              </a:ln>
              <a:effectLst>
                <a:innerShdw blurRad="114300">
                  <a:schemeClr val="accent3">
                    <a:lumMod val="80000"/>
                    <a:lumOff val="20000"/>
                    <a:lumMod val="75000"/>
                  </a:schemeClr>
                </a:innerShdw>
              </a:effectLst>
              <a:scene3d>
                <a:camera prst="orthographicFront"/>
                <a:lightRig rig="threePt" dir="t"/>
              </a:scene3d>
              <a:sp3d contourW="19050" prstMaterial="flat">
                <a:contourClr>
                  <a:schemeClr val="accent3">
                    <a:lumMod val="80000"/>
                    <a:lumOff val="20000"/>
                    <a:lumMod val="75000"/>
                  </a:schemeClr>
                </a:contourClr>
              </a:sp3d>
            </c:spPr>
            <c:extLst>
              <c:ext xmlns:c16="http://schemas.microsoft.com/office/drawing/2014/chart" uri="{C3380CC4-5D6E-409C-BE32-E72D297353CC}">
                <c16:uniqueId val="{00000045-0D85-044B-858F-3BF2B2A838EC}"/>
              </c:ext>
            </c:extLst>
          </c:dPt>
          <c:dPt>
            <c:idx val="69"/>
            <c:bubble3D val="0"/>
            <c:spPr>
              <a:solidFill>
                <a:schemeClr val="accent4">
                  <a:lumMod val="80000"/>
                  <a:lumOff val="20000"/>
                  <a:alpha val="90000"/>
                </a:schemeClr>
              </a:solidFill>
              <a:ln w="19050">
                <a:solidFill>
                  <a:schemeClr val="accent4">
                    <a:lumMod val="80000"/>
                    <a:lumOff val="20000"/>
                    <a:lumMod val="75000"/>
                  </a:schemeClr>
                </a:solidFill>
              </a:ln>
              <a:effectLst>
                <a:innerShdw blurRad="114300">
                  <a:schemeClr val="accent4">
                    <a:lumMod val="80000"/>
                    <a:lumOff val="20000"/>
                    <a:lumMod val="75000"/>
                  </a:schemeClr>
                </a:innerShdw>
              </a:effectLst>
              <a:scene3d>
                <a:camera prst="orthographicFront"/>
                <a:lightRig rig="threePt" dir="t"/>
              </a:scene3d>
              <a:sp3d contourW="19050" prstMaterial="flat">
                <a:contourClr>
                  <a:schemeClr val="accent4">
                    <a:lumMod val="80000"/>
                    <a:lumOff val="20000"/>
                    <a:lumMod val="75000"/>
                  </a:schemeClr>
                </a:contourClr>
              </a:sp3d>
            </c:spPr>
            <c:extLst>
              <c:ext xmlns:c16="http://schemas.microsoft.com/office/drawing/2014/chart" uri="{C3380CC4-5D6E-409C-BE32-E72D297353CC}">
                <c16:uniqueId val="{00000046-0D85-044B-858F-3BF2B2A838EC}"/>
              </c:ext>
            </c:extLst>
          </c:dPt>
          <c:dPt>
            <c:idx val="70"/>
            <c:bubble3D val="0"/>
            <c:spPr>
              <a:solidFill>
                <a:schemeClr val="accent5">
                  <a:lumMod val="80000"/>
                  <a:lumOff val="20000"/>
                  <a:alpha val="90000"/>
                </a:schemeClr>
              </a:solidFill>
              <a:ln w="19050">
                <a:solidFill>
                  <a:schemeClr val="accent5">
                    <a:lumMod val="80000"/>
                    <a:lumOff val="20000"/>
                    <a:lumMod val="75000"/>
                  </a:schemeClr>
                </a:solidFill>
              </a:ln>
              <a:effectLst>
                <a:innerShdw blurRad="114300">
                  <a:schemeClr val="accent5">
                    <a:lumMod val="80000"/>
                    <a:lumOff val="20000"/>
                    <a:lumMod val="75000"/>
                  </a:schemeClr>
                </a:innerShdw>
              </a:effectLst>
              <a:scene3d>
                <a:camera prst="orthographicFront"/>
                <a:lightRig rig="threePt" dir="t"/>
              </a:scene3d>
              <a:sp3d contourW="19050" prstMaterial="flat">
                <a:contourClr>
                  <a:schemeClr val="accent5">
                    <a:lumMod val="80000"/>
                    <a:lumOff val="20000"/>
                    <a:lumMod val="75000"/>
                  </a:schemeClr>
                </a:contourClr>
              </a:sp3d>
            </c:spPr>
            <c:extLst>
              <c:ext xmlns:c16="http://schemas.microsoft.com/office/drawing/2014/chart" uri="{C3380CC4-5D6E-409C-BE32-E72D297353CC}">
                <c16:uniqueId val="{00000047-0D85-044B-858F-3BF2B2A838EC}"/>
              </c:ext>
            </c:extLst>
          </c:dPt>
          <c:dPt>
            <c:idx val="71"/>
            <c:bubble3D val="0"/>
            <c:spPr>
              <a:solidFill>
                <a:schemeClr val="accent6">
                  <a:lumMod val="80000"/>
                  <a:lumOff val="20000"/>
                  <a:alpha val="90000"/>
                </a:schemeClr>
              </a:solidFill>
              <a:ln w="19050">
                <a:solidFill>
                  <a:schemeClr val="accent6">
                    <a:lumMod val="80000"/>
                    <a:lumOff val="20000"/>
                    <a:lumMod val="75000"/>
                  </a:schemeClr>
                </a:solidFill>
              </a:ln>
              <a:effectLst>
                <a:innerShdw blurRad="114300">
                  <a:schemeClr val="accent6">
                    <a:lumMod val="80000"/>
                    <a:lumOff val="20000"/>
                    <a:lumMod val="75000"/>
                  </a:schemeClr>
                </a:innerShdw>
              </a:effectLst>
              <a:scene3d>
                <a:camera prst="orthographicFront"/>
                <a:lightRig rig="threePt" dir="t"/>
              </a:scene3d>
              <a:sp3d contourW="19050" prstMaterial="flat">
                <a:contourClr>
                  <a:schemeClr val="accent6">
                    <a:lumMod val="80000"/>
                    <a:lumOff val="20000"/>
                    <a:lumMod val="75000"/>
                  </a:schemeClr>
                </a:contourClr>
              </a:sp3d>
            </c:spPr>
            <c:extLst>
              <c:ext xmlns:c16="http://schemas.microsoft.com/office/drawing/2014/chart" uri="{C3380CC4-5D6E-409C-BE32-E72D297353CC}">
                <c16:uniqueId val="{00000048-0D85-044B-858F-3BF2B2A838EC}"/>
              </c:ext>
            </c:extLst>
          </c:dPt>
          <c:dPt>
            <c:idx val="72"/>
            <c:bubble3D val="0"/>
            <c:spPr>
              <a:solidFill>
                <a:schemeClr val="accent1">
                  <a:lumMod val="80000"/>
                  <a:alpha val="90000"/>
                </a:schemeClr>
              </a:solidFill>
              <a:ln w="19050">
                <a:solidFill>
                  <a:schemeClr val="accent1">
                    <a:lumMod val="80000"/>
                    <a:lumMod val="75000"/>
                  </a:schemeClr>
                </a:solidFill>
              </a:ln>
              <a:effectLst>
                <a:innerShdw blurRad="114300">
                  <a:schemeClr val="accent1">
                    <a:lumMod val="80000"/>
                    <a:lumMod val="75000"/>
                  </a:schemeClr>
                </a:innerShdw>
              </a:effectLst>
              <a:scene3d>
                <a:camera prst="orthographicFront"/>
                <a:lightRig rig="threePt" dir="t"/>
              </a:scene3d>
              <a:sp3d contourW="19050" prstMaterial="flat">
                <a:contourClr>
                  <a:schemeClr val="accent1">
                    <a:lumMod val="80000"/>
                    <a:lumMod val="75000"/>
                  </a:schemeClr>
                </a:contourClr>
              </a:sp3d>
            </c:spPr>
            <c:extLst>
              <c:ext xmlns:c16="http://schemas.microsoft.com/office/drawing/2014/chart" uri="{C3380CC4-5D6E-409C-BE32-E72D297353CC}">
                <c16:uniqueId val="{00000049-0D85-044B-858F-3BF2B2A838EC}"/>
              </c:ext>
            </c:extLst>
          </c:dPt>
          <c:dPt>
            <c:idx val="73"/>
            <c:bubble3D val="0"/>
            <c:spPr>
              <a:solidFill>
                <a:schemeClr val="accent2">
                  <a:lumMod val="80000"/>
                  <a:alpha val="90000"/>
                </a:schemeClr>
              </a:solidFill>
              <a:ln w="19050">
                <a:solidFill>
                  <a:schemeClr val="accent2">
                    <a:lumMod val="80000"/>
                    <a:lumMod val="75000"/>
                  </a:schemeClr>
                </a:solidFill>
              </a:ln>
              <a:effectLst>
                <a:innerShdw blurRad="114300">
                  <a:schemeClr val="accent2">
                    <a:lumMod val="80000"/>
                    <a:lumMod val="75000"/>
                  </a:schemeClr>
                </a:innerShdw>
              </a:effectLst>
              <a:scene3d>
                <a:camera prst="orthographicFront"/>
                <a:lightRig rig="threePt" dir="t"/>
              </a:scene3d>
              <a:sp3d contourW="19050" prstMaterial="flat">
                <a:contourClr>
                  <a:schemeClr val="accent2">
                    <a:lumMod val="80000"/>
                    <a:lumMod val="75000"/>
                  </a:schemeClr>
                </a:contourClr>
              </a:sp3d>
            </c:spPr>
            <c:extLst>
              <c:ext xmlns:c16="http://schemas.microsoft.com/office/drawing/2014/chart" uri="{C3380CC4-5D6E-409C-BE32-E72D297353CC}">
                <c16:uniqueId val="{0000004A-0D85-044B-858F-3BF2B2A838EC}"/>
              </c:ext>
            </c:extLst>
          </c:dPt>
          <c:dPt>
            <c:idx val="74"/>
            <c:bubble3D val="0"/>
            <c:spPr>
              <a:solidFill>
                <a:schemeClr val="accent3">
                  <a:lumMod val="80000"/>
                  <a:alpha val="90000"/>
                </a:schemeClr>
              </a:solidFill>
              <a:ln w="19050">
                <a:solidFill>
                  <a:schemeClr val="accent3">
                    <a:lumMod val="80000"/>
                    <a:lumMod val="75000"/>
                  </a:schemeClr>
                </a:solidFill>
              </a:ln>
              <a:effectLst>
                <a:innerShdw blurRad="114300">
                  <a:schemeClr val="accent3">
                    <a:lumMod val="80000"/>
                    <a:lumMod val="75000"/>
                  </a:schemeClr>
                </a:innerShdw>
              </a:effectLst>
              <a:scene3d>
                <a:camera prst="orthographicFront"/>
                <a:lightRig rig="threePt" dir="t"/>
              </a:scene3d>
              <a:sp3d contourW="19050" prstMaterial="flat">
                <a:contourClr>
                  <a:schemeClr val="accent3">
                    <a:lumMod val="80000"/>
                    <a:lumMod val="75000"/>
                  </a:schemeClr>
                </a:contourClr>
              </a:sp3d>
            </c:spPr>
            <c:extLst>
              <c:ext xmlns:c16="http://schemas.microsoft.com/office/drawing/2014/chart" uri="{C3380CC4-5D6E-409C-BE32-E72D297353CC}">
                <c16:uniqueId val="{0000004B-0D85-044B-858F-3BF2B2A838EC}"/>
              </c:ext>
            </c:extLst>
          </c:dPt>
          <c:dPt>
            <c:idx val="75"/>
            <c:bubble3D val="0"/>
            <c:spPr>
              <a:solidFill>
                <a:schemeClr val="accent4">
                  <a:lumMod val="80000"/>
                  <a:alpha val="90000"/>
                </a:schemeClr>
              </a:solidFill>
              <a:ln w="19050">
                <a:solidFill>
                  <a:schemeClr val="accent4">
                    <a:lumMod val="80000"/>
                    <a:lumMod val="75000"/>
                  </a:schemeClr>
                </a:solidFill>
              </a:ln>
              <a:effectLst>
                <a:innerShdw blurRad="114300">
                  <a:schemeClr val="accent4">
                    <a:lumMod val="80000"/>
                    <a:lumMod val="75000"/>
                  </a:schemeClr>
                </a:innerShdw>
              </a:effectLst>
              <a:scene3d>
                <a:camera prst="orthographicFront"/>
                <a:lightRig rig="threePt" dir="t"/>
              </a:scene3d>
              <a:sp3d contourW="19050" prstMaterial="flat">
                <a:contourClr>
                  <a:schemeClr val="accent4">
                    <a:lumMod val="80000"/>
                    <a:lumMod val="75000"/>
                  </a:schemeClr>
                </a:contourClr>
              </a:sp3d>
            </c:spPr>
            <c:extLst>
              <c:ext xmlns:c16="http://schemas.microsoft.com/office/drawing/2014/chart" uri="{C3380CC4-5D6E-409C-BE32-E72D297353CC}">
                <c16:uniqueId val="{0000004C-0D85-044B-858F-3BF2B2A838EC}"/>
              </c:ext>
            </c:extLst>
          </c:dPt>
          <c:dPt>
            <c:idx val="76"/>
            <c:bubble3D val="0"/>
            <c:spPr>
              <a:solidFill>
                <a:schemeClr val="accent5">
                  <a:lumMod val="80000"/>
                  <a:alpha val="90000"/>
                </a:schemeClr>
              </a:solidFill>
              <a:ln w="19050">
                <a:solidFill>
                  <a:schemeClr val="accent5">
                    <a:lumMod val="80000"/>
                    <a:lumMod val="75000"/>
                  </a:schemeClr>
                </a:solidFill>
              </a:ln>
              <a:effectLst>
                <a:innerShdw blurRad="114300">
                  <a:schemeClr val="accent5">
                    <a:lumMod val="80000"/>
                    <a:lumMod val="75000"/>
                  </a:schemeClr>
                </a:innerShdw>
              </a:effectLst>
              <a:scene3d>
                <a:camera prst="orthographicFront"/>
                <a:lightRig rig="threePt" dir="t"/>
              </a:scene3d>
              <a:sp3d contourW="19050" prstMaterial="flat">
                <a:contourClr>
                  <a:schemeClr val="accent5">
                    <a:lumMod val="80000"/>
                    <a:lumMod val="75000"/>
                  </a:schemeClr>
                </a:contourClr>
              </a:sp3d>
            </c:spPr>
            <c:extLst>
              <c:ext xmlns:c16="http://schemas.microsoft.com/office/drawing/2014/chart" uri="{C3380CC4-5D6E-409C-BE32-E72D297353CC}">
                <c16:uniqueId val="{0000004D-0D85-044B-858F-3BF2B2A838EC}"/>
              </c:ext>
            </c:extLst>
          </c:dPt>
          <c:dPt>
            <c:idx val="77"/>
            <c:bubble3D val="0"/>
            <c:spPr>
              <a:solidFill>
                <a:schemeClr val="accent6">
                  <a:lumMod val="80000"/>
                  <a:alpha val="90000"/>
                </a:schemeClr>
              </a:solidFill>
              <a:ln w="19050">
                <a:solidFill>
                  <a:schemeClr val="accent6">
                    <a:lumMod val="80000"/>
                    <a:lumMod val="75000"/>
                  </a:schemeClr>
                </a:solidFill>
              </a:ln>
              <a:effectLst>
                <a:innerShdw blurRad="114300">
                  <a:schemeClr val="accent6">
                    <a:lumMod val="80000"/>
                    <a:lumMod val="75000"/>
                  </a:schemeClr>
                </a:innerShdw>
              </a:effectLst>
              <a:scene3d>
                <a:camera prst="orthographicFront"/>
                <a:lightRig rig="threePt" dir="t"/>
              </a:scene3d>
              <a:sp3d contourW="19050" prstMaterial="flat">
                <a:contourClr>
                  <a:schemeClr val="accent6">
                    <a:lumMod val="80000"/>
                    <a:lumMod val="75000"/>
                  </a:schemeClr>
                </a:contourClr>
              </a:sp3d>
            </c:spPr>
            <c:extLst>
              <c:ext xmlns:c16="http://schemas.microsoft.com/office/drawing/2014/chart" uri="{C3380CC4-5D6E-409C-BE32-E72D297353CC}">
                <c16:uniqueId val="{0000004E-0D85-044B-858F-3BF2B2A838EC}"/>
              </c:ext>
            </c:extLst>
          </c:dPt>
          <c:dPt>
            <c:idx val="78"/>
            <c:bubble3D val="0"/>
            <c:spPr>
              <a:solidFill>
                <a:schemeClr val="accent1">
                  <a:lumMod val="60000"/>
                  <a:lumOff val="40000"/>
                  <a:alpha val="90000"/>
                </a:schemeClr>
              </a:solidFill>
              <a:ln w="19050">
                <a:solidFill>
                  <a:schemeClr val="accent1">
                    <a:lumMod val="60000"/>
                    <a:lumOff val="40000"/>
                    <a:lumMod val="75000"/>
                  </a:schemeClr>
                </a:solidFill>
              </a:ln>
              <a:effectLst>
                <a:innerShdw blurRad="114300">
                  <a:schemeClr val="accent1">
                    <a:lumMod val="60000"/>
                    <a:lumOff val="40000"/>
                    <a:lumMod val="75000"/>
                  </a:schemeClr>
                </a:innerShdw>
              </a:effectLst>
              <a:scene3d>
                <a:camera prst="orthographicFront"/>
                <a:lightRig rig="threePt" dir="t"/>
              </a:scene3d>
              <a:sp3d contourW="19050" prstMaterial="flat">
                <a:contourClr>
                  <a:schemeClr val="accent1">
                    <a:lumMod val="60000"/>
                    <a:lumOff val="40000"/>
                    <a:lumMod val="75000"/>
                  </a:schemeClr>
                </a:contourClr>
              </a:sp3d>
            </c:spPr>
            <c:extLst>
              <c:ext xmlns:c16="http://schemas.microsoft.com/office/drawing/2014/chart" uri="{C3380CC4-5D6E-409C-BE32-E72D297353CC}">
                <c16:uniqueId val="{0000004F-0D85-044B-858F-3BF2B2A838EC}"/>
              </c:ext>
            </c:extLst>
          </c:dPt>
          <c:dPt>
            <c:idx val="79"/>
            <c:bubble3D val="0"/>
            <c:spPr>
              <a:solidFill>
                <a:schemeClr val="accent2">
                  <a:lumMod val="60000"/>
                  <a:lumOff val="40000"/>
                  <a:alpha val="90000"/>
                </a:schemeClr>
              </a:solidFill>
              <a:ln w="19050">
                <a:solidFill>
                  <a:schemeClr val="accent2">
                    <a:lumMod val="60000"/>
                    <a:lumOff val="40000"/>
                    <a:lumMod val="75000"/>
                  </a:schemeClr>
                </a:solidFill>
              </a:ln>
              <a:effectLst>
                <a:innerShdw blurRad="114300">
                  <a:schemeClr val="accent2">
                    <a:lumMod val="60000"/>
                    <a:lumOff val="40000"/>
                    <a:lumMod val="75000"/>
                  </a:schemeClr>
                </a:innerShdw>
              </a:effectLst>
              <a:scene3d>
                <a:camera prst="orthographicFront"/>
                <a:lightRig rig="threePt" dir="t"/>
              </a:scene3d>
              <a:sp3d contourW="19050" prstMaterial="flat">
                <a:contourClr>
                  <a:schemeClr val="accent2">
                    <a:lumMod val="60000"/>
                    <a:lumOff val="40000"/>
                    <a:lumMod val="75000"/>
                  </a:schemeClr>
                </a:contourClr>
              </a:sp3d>
            </c:spPr>
            <c:extLst>
              <c:ext xmlns:c16="http://schemas.microsoft.com/office/drawing/2014/chart" uri="{C3380CC4-5D6E-409C-BE32-E72D297353CC}">
                <c16:uniqueId val="{00000050-0D85-044B-858F-3BF2B2A838EC}"/>
              </c:ext>
            </c:extLst>
          </c:dPt>
          <c:dPt>
            <c:idx val="80"/>
            <c:bubble3D val="0"/>
            <c:spPr>
              <a:solidFill>
                <a:schemeClr val="accent3">
                  <a:lumMod val="60000"/>
                  <a:lumOff val="40000"/>
                  <a:alpha val="90000"/>
                </a:schemeClr>
              </a:solidFill>
              <a:ln w="19050">
                <a:solidFill>
                  <a:schemeClr val="accent3">
                    <a:lumMod val="60000"/>
                    <a:lumOff val="40000"/>
                    <a:lumMod val="75000"/>
                  </a:schemeClr>
                </a:solidFill>
              </a:ln>
              <a:effectLst>
                <a:innerShdw blurRad="114300">
                  <a:schemeClr val="accent3">
                    <a:lumMod val="60000"/>
                    <a:lumOff val="40000"/>
                    <a:lumMod val="75000"/>
                  </a:schemeClr>
                </a:innerShdw>
              </a:effectLst>
              <a:scene3d>
                <a:camera prst="orthographicFront"/>
                <a:lightRig rig="threePt" dir="t"/>
              </a:scene3d>
              <a:sp3d contourW="19050" prstMaterial="flat">
                <a:contourClr>
                  <a:schemeClr val="accent3">
                    <a:lumMod val="60000"/>
                    <a:lumOff val="40000"/>
                    <a:lumMod val="75000"/>
                  </a:schemeClr>
                </a:contourClr>
              </a:sp3d>
            </c:spPr>
            <c:extLst>
              <c:ext xmlns:c16="http://schemas.microsoft.com/office/drawing/2014/chart" uri="{C3380CC4-5D6E-409C-BE32-E72D297353CC}">
                <c16:uniqueId val="{00000051-0D85-044B-858F-3BF2B2A838EC}"/>
              </c:ext>
            </c:extLst>
          </c:dPt>
          <c:dPt>
            <c:idx val="81"/>
            <c:bubble3D val="0"/>
            <c:spPr>
              <a:solidFill>
                <a:schemeClr val="accent4">
                  <a:lumMod val="60000"/>
                  <a:lumOff val="40000"/>
                  <a:alpha val="90000"/>
                </a:schemeClr>
              </a:solidFill>
              <a:ln w="19050">
                <a:solidFill>
                  <a:schemeClr val="accent4">
                    <a:lumMod val="60000"/>
                    <a:lumOff val="40000"/>
                    <a:lumMod val="75000"/>
                  </a:schemeClr>
                </a:solidFill>
              </a:ln>
              <a:effectLst>
                <a:innerShdw blurRad="114300">
                  <a:schemeClr val="accent4">
                    <a:lumMod val="60000"/>
                    <a:lumOff val="40000"/>
                    <a:lumMod val="75000"/>
                  </a:schemeClr>
                </a:innerShdw>
              </a:effectLst>
              <a:scene3d>
                <a:camera prst="orthographicFront"/>
                <a:lightRig rig="threePt" dir="t"/>
              </a:scene3d>
              <a:sp3d contourW="19050" prstMaterial="flat">
                <a:contourClr>
                  <a:schemeClr val="accent4">
                    <a:lumMod val="60000"/>
                    <a:lumOff val="40000"/>
                    <a:lumMod val="75000"/>
                  </a:schemeClr>
                </a:contourClr>
              </a:sp3d>
            </c:spPr>
            <c:extLst>
              <c:ext xmlns:c16="http://schemas.microsoft.com/office/drawing/2014/chart" uri="{C3380CC4-5D6E-409C-BE32-E72D297353CC}">
                <c16:uniqueId val="{00000052-0D85-044B-858F-3BF2B2A838EC}"/>
              </c:ext>
            </c:extLst>
          </c:dPt>
          <c:dPt>
            <c:idx val="82"/>
            <c:bubble3D val="0"/>
            <c:spPr>
              <a:solidFill>
                <a:schemeClr val="accent5">
                  <a:lumMod val="60000"/>
                  <a:lumOff val="40000"/>
                  <a:alpha val="90000"/>
                </a:schemeClr>
              </a:solidFill>
              <a:ln w="19050">
                <a:solidFill>
                  <a:schemeClr val="accent5">
                    <a:lumMod val="60000"/>
                    <a:lumOff val="40000"/>
                    <a:lumMod val="75000"/>
                  </a:schemeClr>
                </a:solidFill>
              </a:ln>
              <a:effectLst>
                <a:innerShdw blurRad="114300">
                  <a:schemeClr val="accent5">
                    <a:lumMod val="60000"/>
                    <a:lumOff val="40000"/>
                    <a:lumMod val="75000"/>
                  </a:schemeClr>
                </a:innerShdw>
              </a:effectLst>
              <a:scene3d>
                <a:camera prst="orthographicFront"/>
                <a:lightRig rig="threePt" dir="t"/>
              </a:scene3d>
              <a:sp3d contourW="19050" prstMaterial="flat">
                <a:contourClr>
                  <a:schemeClr val="accent5">
                    <a:lumMod val="60000"/>
                    <a:lumOff val="40000"/>
                    <a:lumMod val="75000"/>
                  </a:schemeClr>
                </a:contourClr>
              </a:sp3d>
            </c:spPr>
            <c:extLst>
              <c:ext xmlns:c16="http://schemas.microsoft.com/office/drawing/2014/chart" uri="{C3380CC4-5D6E-409C-BE32-E72D297353CC}">
                <c16:uniqueId val="{00000053-0D85-044B-858F-3BF2B2A838EC}"/>
              </c:ext>
            </c:extLst>
          </c:dPt>
          <c:dPt>
            <c:idx val="83"/>
            <c:bubble3D val="0"/>
            <c:spPr>
              <a:solidFill>
                <a:schemeClr val="accent6">
                  <a:lumMod val="60000"/>
                  <a:lumOff val="40000"/>
                  <a:alpha val="90000"/>
                </a:schemeClr>
              </a:solidFill>
              <a:ln w="19050">
                <a:solidFill>
                  <a:schemeClr val="accent6">
                    <a:lumMod val="60000"/>
                    <a:lumOff val="40000"/>
                    <a:lumMod val="75000"/>
                  </a:schemeClr>
                </a:solidFill>
              </a:ln>
              <a:effectLst>
                <a:innerShdw blurRad="114300">
                  <a:schemeClr val="accent6">
                    <a:lumMod val="60000"/>
                    <a:lumOff val="40000"/>
                    <a:lumMod val="75000"/>
                  </a:schemeClr>
                </a:innerShdw>
              </a:effectLst>
              <a:scene3d>
                <a:camera prst="orthographicFront"/>
                <a:lightRig rig="threePt" dir="t"/>
              </a:scene3d>
              <a:sp3d contourW="19050" prstMaterial="flat">
                <a:contourClr>
                  <a:schemeClr val="accent6">
                    <a:lumMod val="60000"/>
                    <a:lumOff val="40000"/>
                    <a:lumMod val="75000"/>
                  </a:schemeClr>
                </a:contourClr>
              </a:sp3d>
            </c:spPr>
            <c:extLst>
              <c:ext xmlns:c16="http://schemas.microsoft.com/office/drawing/2014/chart" uri="{C3380CC4-5D6E-409C-BE32-E72D297353CC}">
                <c16:uniqueId val="{00000054-0D85-044B-858F-3BF2B2A838EC}"/>
              </c:ext>
            </c:extLst>
          </c:dPt>
          <c:dPt>
            <c:idx val="84"/>
            <c:bubble3D val="0"/>
            <c:spPr>
              <a:solidFill>
                <a:schemeClr val="accent1">
                  <a:lumMod val="50000"/>
                  <a:alpha val="90000"/>
                </a:schemeClr>
              </a:solidFill>
              <a:ln w="19050">
                <a:solidFill>
                  <a:schemeClr val="accent1">
                    <a:lumMod val="50000"/>
                    <a:lumMod val="75000"/>
                  </a:schemeClr>
                </a:solidFill>
              </a:ln>
              <a:effectLst>
                <a:innerShdw blurRad="114300">
                  <a:schemeClr val="accent1">
                    <a:lumMod val="50000"/>
                    <a:lumMod val="75000"/>
                  </a:schemeClr>
                </a:innerShdw>
              </a:effectLst>
              <a:scene3d>
                <a:camera prst="orthographicFront"/>
                <a:lightRig rig="threePt" dir="t"/>
              </a:scene3d>
              <a:sp3d contourW="19050" prstMaterial="flat">
                <a:contourClr>
                  <a:schemeClr val="accent1">
                    <a:lumMod val="50000"/>
                    <a:lumMod val="75000"/>
                  </a:schemeClr>
                </a:contourClr>
              </a:sp3d>
            </c:spPr>
            <c:extLst>
              <c:ext xmlns:c16="http://schemas.microsoft.com/office/drawing/2014/chart" uri="{C3380CC4-5D6E-409C-BE32-E72D297353CC}">
                <c16:uniqueId val="{00000055-0D85-044B-858F-3BF2B2A838EC}"/>
              </c:ext>
            </c:extLst>
          </c:dPt>
          <c:dPt>
            <c:idx val="85"/>
            <c:bubble3D val="0"/>
            <c:spPr>
              <a:solidFill>
                <a:schemeClr val="accent2">
                  <a:lumMod val="50000"/>
                  <a:alpha val="90000"/>
                </a:schemeClr>
              </a:solidFill>
              <a:ln w="19050">
                <a:solidFill>
                  <a:schemeClr val="accent2">
                    <a:lumMod val="50000"/>
                    <a:lumMod val="75000"/>
                  </a:schemeClr>
                </a:solidFill>
              </a:ln>
              <a:effectLst>
                <a:innerShdw blurRad="114300">
                  <a:schemeClr val="accent2">
                    <a:lumMod val="50000"/>
                    <a:lumMod val="75000"/>
                  </a:schemeClr>
                </a:innerShdw>
              </a:effectLst>
              <a:scene3d>
                <a:camera prst="orthographicFront"/>
                <a:lightRig rig="threePt" dir="t"/>
              </a:scene3d>
              <a:sp3d contourW="19050" prstMaterial="flat">
                <a:contourClr>
                  <a:schemeClr val="accent2">
                    <a:lumMod val="50000"/>
                    <a:lumMod val="75000"/>
                  </a:schemeClr>
                </a:contourClr>
              </a:sp3d>
            </c:spPr>
            <c:extLst>
              <c:ext xmlns:c16="http://schemas.microsoft.com/office/drawing/2014/chart" uri="{C3380CC4-5D6E-409C-BE32-E72D297353CC}">
                <c16:uniqueId val="{00000056-0D85-044B-858F-3BF2B2A838EC}"/>
              </c:ext>
            </c:extLst>
          </c:dPt>
          <c:dPt>
            <c:idx val="86"/>
            <c:bubble3D val="0"/>
            <c:spPr>
              <a:solidFill>
                <a:schemeClr val="accent3">
                  <a:lumMod val="50000"/>
                  <a:alpha val="90000"/>
                </a:schemeClr>
              </a:solidFill>
              <a:ln w="19050">
                <a:solidFill>
                  <a:schemeClr val="accent3">
                    <a:lumMod val="50000"/>
                    <a:lumMod val="75000"/>
                  </a:schemeClr>
                </a:solidFill>
              </a:ln>
              <a:effectLst>
                <a:innerShdw blurRad="114300">
                  <a:schemeClr val="accent3">
                    <a:lumMod val="50000"/>
                    <a:lumMod val="75000"/>
                  </a:schemeClr>
                </a:innerShdw>
              </a:effectLst>
              <a:scene3d>
                <a:camera prst="orthographicFront"/>
                <a:lightRig rig="threePt" dir="t"/>
              </a:scene3d>
              <a:sp3d contourW="19050" prstMaterial="flat">
                <a:contourClr>
                  <a:schemeClr val="accent3">
                    <a:lumMod val="50000"/>
                    <a:lumMod val="75000"/>
                  </a:schemeClr>
                </a:contourClr>
              </a:sp3d>
            </c:spPr>
            <c:extLst>
              <c:ext xmlns:c16="http://schemas.microsoft.com/office/drawing/2014/chart" uri="{C3380CC4-5D6E-409C-BE32-E72D297353CC}">
                <c16:uniqueId val="{00000057-0D85-044B-858F-3BF2B2A838EC}"/>
              </c:ext>
            </c:extLst>
          </c:dPt>
          <c:dPt>
            <c:idx val="87"/>
            <c:bubble3D val="0"/>
            <c:spPr>
              <a:solidFill>
                <a:schemeClr val="accent4">
                  <a:lumMod val="50000"/>
                  <a:alpha val="90000"/>
                </a:schemeClr>
              </a:solidFill>
              <a:ln w="19050">
                <a:solidFill>
                  <a:schemeClr val="accent4">
                    <a:lumMod val="50000"/>
                    <a:lumMod val="75000"/>
                  </a:schemeClr>
                </a:solidFill>
              </a:ln>
              <a:effectLst>
                <a:innerShdw blurRad="114300">
                  <a:schemeClr val="accent4">
                    <a:lumMod val="50000"/>
                    <a:lumMod val="75000"/>
                  </a:schemeClr>
                </a:innerShdw>
              </a:effectLst>
              <a:scene3d>
                <a:camera prst="orthographicFront"/>
                <a:lightRig rig="threePt" dir="t"/>
              </a:scene3d>
              <a:sp3d contourW="19050" prstMaterial="flat">
                <a:contourClr>
                  <a:schemeClr val="accent4">
                    <a:lumMod val="50000"/>
                    <a:lumMod val="75000"/>
                  </a:schemeClr>
                </a:contourClr>
              </a:sp3d>
            </c:spPr>
            <c:extLst>
              <c:ext xmlns:c16="http://schemas.microsoft.com/office/drawing/2014/chart" uri="{C3380CC4-5D6E-409C-BE32-E72D297353CC}">
                <c16:uniqueId val="{00000058-0D85-044B-858F-3BF2B2A838EC}"/>
              </c:ext>
            </c:extLst>
          </c:dPt>
          <c:dPt>
            <c:idx val="88"/>
            <c:bubble3D val="0"/>
            <c:spPr>
              <a:solidFill>
                <a:schemeClr val="accent5">
                  <a:lumMod val="50000"/>
                  <a:alpha val="90000"/>
                </a:schemeClr>
              </a:solidFill>
              <a:ln w="19050">
                <a:solidFill>
                  <a:schemeClr val="accent5">
                    <a:lumMod val="50000"/>
                    <a:lumMod val="75000"/>
                  </a:schemeClr>
                </a:solidFill>
              </a:ln>
              <a:effectLst>
                <a:innerShdw blurRad="114300">
                  <a:schemeClr val="accent5">
                    <a:lumMod val="50000"/>
                    <a:lumMod val="75000"/>
                  </a:schemeClr>
                </a:innerShdw>
              </a:effectLst>
              <a:scene3d>
                <a:camera prst="orthographicFront"/>
                <a:lightRig rig="threePt" dir="t"/>
              </a:scene3d>
              <a:sp3d contourW="19050" prstMaterial="flat">
                <a:contourClr>
                  <a:schemeClr val="accent5">
                    <a:lumMod val="50000"/>
                    <a:lumMod val="75000"/>
                  </a:schemeClr>
                </a:contourClr>
              </a:sp3d>
            </c:spPr>
            <c:extLst>
              <c:ext xmlns:c16="http://schemas.microsoft.com/office/drawing/2014/chart" uri="{C3380CC4-5D6E-409C-BE32-E72D297353CC}">
                <c16:uniqueId val="{00000059-0D85-044B-858F-3BF2B2A838EC}"/>
              </c:ext>
            </c:extLst>
          </c:dPt>
          <c:dPt>
            <c:idx val="89"/>
            <c:bubble3D val="0"/>
            <c:spPr>
              <a:solidFill>
                <a:schemeClr val="accent6">
                  <a:lumMod val="50000"/>
                  <a:alpha val="90000"/>
                </a:schemeClr>
              </a:solidFill>
              <a:ln w="19050">
                <a:solidFill>
                  <a:schemeClr val="accent6">
                    <a:lumMod val="50000"/>
                    <a:lumMod val="75000"/>
                  </a:schemeClr>
                </a:solidFill>
              </a:ln>
              <a:effectLst>
                <a:innerShdw blurRad="114300">
                  <a:schemeClr val="accent6">
                    <a:lumMod val="50000"/>
                    <a:lumMod val="75000"/>
                  </a:schemeClr>
                </a:innerShdw>
              </a:effectLst>
              <a:scene3d>
                <a:camera prst="orthographicFront"/>
                <a:lightRig rig="threePt" dir="t"/>
              </a:scene3d>
              <a:sp3d contourW="19050" prstMaterial="flat">
                <a:contourClr>
                  <a:schemeClr val="accent6">
                    <a:lumMod val="50000"/>
                    <a:lumMod val="75000"/>
                  </a:schemeClr>
                </a:contourClr>
              </a:sp3d>
            </c:spPr>
            <c:extLst>
              <c:ext xmlns:c16="http://schemas.microsoft.com/office/drawing/2014/chart" uri="{C3380CC4-5D6E-409C-BE32-E72D297353CC}">
                <c16:uniqueId val="{0000005A-0D85-044B-858F-3BF2B2A838EC}"/>
              </c:ext>
            </c:extLst>
          </c:dPt>
          <c:dPt>
            <c:idx val="90"/>
            <c:bubble3D val="0"/>
            <c:spPr>
              <a:solidFill>
                <a:schemeClr val="accent1">
                  <a:lumMod val="70000"/>
                  <a:lumOff val="30000"/>
                  <a:alpha val="90000"/>
                </a:schemeClr>
              </a:solidFill>
              <a:ln w="19050">
                <a:solidFill>
                  <a:schemeClr val="accent1">
                    <a:lumMod val="70000"/>
                    <a:lumOff val="30000"/>
                    <a:lumMod val="75000"/>
                  </a:schemeClr>
                </a:solidFill>
              </a:ln>
              <a:effectLst>
                <a:innerShdw blurRad="114300">
                  <a:schemeClr val="accent1">
                    <a:lumMod val="70000"/>
                    <a:lumOff val="30000"/>
                    <a:lumMod val="75000"/>
                  </a:schemeClr>
                </a:innerShdw>
              </a:effectLst>
              <a:scene3d>
                <a:camera prst="orthographicFront"/>
                <a:lightRig rig="threePt" dir="t"/>
              </a:scene3d>
              <a:sp3d contourW="19050" prstMaterial="flat">
                <a:contourClr>
                  <a:schemeClr val="accent1">
                    <a:lumMod val="70000"/>
                    <a:lumOff val="30000"/>
                    <a:lumMod val="75000"/>
                  </a:schemeClr>
                </a:contourClr>
              </a:sp3d>
            </c:spPr>
            <c:extLst>
              <c:ext xmlns:c16="http://schemas.microsoft.com/office/drawing/2014/chart" uri="{C3380CC4-5D6E-409C-BE32-E72D297353CC}">
                <c16:uniqueId val="{0000005B-0D85-044B-858F-3BF2B2A838EC}"/>
              </c:ext>
            </c:extLst>
          </c:dPt>
          <c:dPt>
            <c:idx val="91"/>
            <c:bubble3D val="0"/>
            <c:spPr>
              <a:solidFill>
                <a:schemeClr val="accent2">
                  <a:lumMod val="70000"/>
                  <a:lumOff val="30000"/>
                  <a:alpha val="90000"/>
                </a:schemeClr>
              </a:solidFill>
              <a:ln w="19050">
                <a:solidFill>
                  <a:schemeClr val="accent2">
                    <a:lumMod val="70000"/>
                    <a:lumOff val="30000"/>
                    <a:lumMod val="75000"/>
                  </a:schemeClr>
                </a:solidFill>
              </a:ln>
              <a:effectLst>
                <a:innerShdw blurRad="114300">
                  <a:schemeClr val="accent2">
                    <a:lumMod val="70000"/>
                    <a:lumOff val="30000"/>
                    <a:lumMod val="75000"/>
                  </a:schemeClr>
                </a:innerShdw>
              </a:effectLst>
              <a:scene3d>
                <a:camera prst="orthographicFront"/>
                <a:lightRig rig="threePt" dir="t"/>
              </a:scene3d>
              <a:sp3d contourW="19050" prstMaterial="flat">
                <a:contourClr>
                  <a:schemeClr val="accent2">
                    <a:lumMod val="70000"/>
                    <a:lumOff val="30000"/>
                    <a:lumMod val="75000"/>
                  </a:schemeClr>
                </a:contourClr>
              </a:sp3d>
            </c:spPr>
            <c:extLst>
              <c:ext xmlns:c16="http://schemas.microsoft.com/office/drawing/2014/chart" uri="{C3380CC4-5D6E-409C-BE32-E72D297353CC}">
                <c16:uniqueId val="{0000005C-0D85-044B-858F-3BF2B2A838EC}"/>
              </c:ext>
            </c:extLst>
          </c:dPt>
          <c:dPt>
            <c:idx val="92"/>
            <c:bubble3D val="0"/>
            <c:spPr>
              <a:solidFill>
                <a:schemeClr val="accent3">
                  <a:lumMod val="70000"/>
                  <a:lumOff val="30000"/>
                  <a:alpha val="90000"/>
                </a:schemeClr>
              </a:solidFill>
              <a:ln w="19050">
                <a:solidFill>
                  <a:schemeClr val="accent3">
                    <a:lumMod val="70000"/>
                    <a:lumOff val="30000"/>
                    <a:lumMod val="75000"/>
                  </a:schemeClr>
                </a:solidFill>
              </a:ln>
              <a:effectLst>
                <a:innerShdw blurRad="114300">
                  <a:schemeClr val="accent3">
                    <a:lumMod val="70000"/>
                    <a:lumOff val="30000"/>
                    <a:lumMod val="75000"/>
                  </a:schemeClr>
                </a:innerShdw>
              </a:effectLst>
              <a:scene3d>
                <a:camera prst="orthographicFront"/>
                <a:lightRig rig="threePt" dir="t"/>
              </a:scene3d>
              <a:sp3d contourW="19050" prstMaterial="flat">
                <a:contourClr>
                  <a:schemeClr val="accent3">
                    <a:lumMod val="70000"/>
                    <a:lumOff val="30000"/>
                    <a:lumMod val="75000"/>
                  </a:schemeClr>
                </a:contourClr>
              </a:sp3d>
            </c:spPr>
            <c:extLst>
              <c:ext xmlns:c16="http://schemas.microsoft.com/office/drawing/2014/chart" uri="{C3380CC4-5D6E-409C-BE32-E72D297353CC}">
                <c16:uniqueId val="{0000005D-0D85-044B-858F-3BF2B2A838EC}"/>
              </c:ext>
            </c:extLst>
          </c:dPt>
          <c:dPt>
            <c:idx val="93"/>
            <c:bubble3D val="0"/>
            <c:spPr>
              <a:solidFill>
                <a:schemeClr val="accent4">
                  <a:lumMod val="70000"/>
                  <a:lumOff val="30000"/>
                  <a:alpha val="90000"/>
                </a:schemeClr>
              </a:solidFill>
              <a:ln w="19050">
                <a:solidFill>
                  <a:schemeClr val="accent4">
                    <a:lumMod val="70000"/>
                    <a:lumOff val="30000"/>
                    <a:lumMod val="75000"/>
                  </a:schemeClr>
                </a:solidFill>
              </a:ln>
              <a:effectLst>
                <a:innerShdw blurRad="114300">
                  <a:schemeClr val="accent4">
                    <a:lumMod val="70000"/>
                    <a:lumOff val="30000"/>
                    <a:lumMod val="75000"/>
                  </a:schemeClr>
                </a:innerShdw>
              </a:effectLst>
              <a:scene3d>
                <a:camera prst="orthographicFront"/>
                <a:lightRig rig="threePt" dir="t"/>
              </a:scene3d>
              <a:sp3d contourW="19050" prstMaterial="flat">
                <a:contourClr>
                  <a:schemeClr val="accent4">
                    <a:lumMod val="70000"/>
                    <a:lumOff val="30000"/>
                    <a:lumMod val="75000"/>
                  </a:schemeClr>
                </a:contourClr>
              </a:sp3d>
            </c:spPr>
            <c:extLst>
              <c:ext xmlns:c16="http://schemas.microsoft.com/office/drawing/2014/chart" uri="{C3380CC4-5D6E-409C-BE32-E72D297353CC}">
                <c16:uniqueId val="{0000005E-0D85-044B-858F-3BF2B2A838EC}"/>
              </c:ext>
            </c:extLst>
          </c:dPt>
          <c:dPt>
            <c:idx val="94"/>
            <c:bubble3D val="0"/>
            <c:spPr>
              <a:solidFill>
                <a:schemeClr val="accent5">
                  <a:lumMod val="70000"/>
                  <a:lumOff val="30000"/>
                  <a:alpha val="90000"/>
                </a:schemeClr>
              </a:solidFill>
              <a:ln w="19050">
                <a:solidFill>
                  <a:schemeClr val="accent5">
                    <a:lumMod val="70000"/>
                    <a:lumOff val="30000"/>
                    <a:lumMod val="75000"/>
                  </a:schemeClr>
                </a:solidFill>
              </a:ln>
              <a:effectLst>
                <a:innerShdw blurRad="114300">
                  <a:schemeClr val="accent5">
                    <a:lumMod val="70000"/>
                    <a:lumOff val="30000"/>
                    <a:lumMod val="75000"/>
                  </a:schemeClr>
                </a:innerShdw>
              </a:effectLst>
              <a:scene3d>
                <a:camera prst="orthographicFront"/>
                <a:lightRig rig="threePt" dir="t"/>
              </a:scene3d>
              <a:sp3d contourW="19050" prstMaterial="flat">
                <a:contourClr>
                  <a:schemeClr val="accent5">
                    <a:lumMod val="70000"/>
                    <a:lumOff val="30000"/>
                    <a:lumMod val="75000"/>
                  </a:schemeClr>
                </a:contourClr>
              </a:sp3d>
            </c:spPr>
            <c:extLst>
              <c:ext xmlns:c16="http://schemas.microsoft.com/office/drawing/2014/chart" uri="{C3380CC4-5D6E-409C-BE32-E72D297353CC}">
                <c16:uniqueId val="{0000005F-0D85-044B-858F-3BF2B2A838EC}"/>
              </c:ext>
            </c:extLst>
          </c:dPt>
          <c:dPt>
            <c:idx val="95"/>
            <c:bubble3D val="0"/>
            <c:spPr>
              <a:solidFill>
                <a:schemeClr val="accent6">
                  <a:lumMod val="70000"/>
                  <a:lumOff val="30000"/>
                  <a:alpha val="90000"/>
                </a:schemeClr>
              </a:solidFill>
              <a:ln w="19050">
                <a:solidFill>
                  <a:schemeClr val="accent6">
                    <a:lumMod val="70000"/>
                    <a:lumOff val="30000"/>
                    <a:lumMod val="75000"/>
                  </a:schemeClr>
                </a:solidFill>
              </a:ln>
              <a:effectLst>
                <a:innerShdw blurRad="114300">
                  <a:schemeClr val="accent6">
                    <a:lumMod val="70000"/>
                    <a:lumOff val="30000"/>
                    <a:lumMod val="75000"/>
                  </a:schemeClr>
                </a:innerShdw>
              </a:effectLst>
              <a:scene3d>
                <a:camera prst="orthographicFront"/>
                <a:lightRig rig="threePt" dir="t"/>
              </a:scene3d>
              <a:sp3d contourW="19050" prstMaterial="flat">
                <a:contourClr>
                  <a:schemeClr val="accent6">
                    <a:lumMod val="70000"/>
                    <a:lumOff val="30000"/>
                    <a:lumMod val="75000"/>
                  </a:schemeClr>
                </a:contourClr>
              </a:sp3d>
            </c:spPr>
            <c:extLst>
              <c:ext xmlns:c16="http://schemas.microsoft.com/office/drawing/2014/chart" uri="{C3380CC4-5D6E-409C-BE32-E72D297353CC}">
                <c16:uniqueId val="{00000060-0D85-044B-858F-3BF2B2A838EC}"/>
              </c:ext>
            </c:extLst>
          </c:dPt>
          <c:dPt>
            <c:idx val="96"/>
            <c:bubble3D val="0"/>
            <c:spPr>
              <a:solidFill>
                <a:schemeClr val="accent1">
                  <a:lumMod val="70000"/>
                  <a:alpha val="90000"/>
                </a:schemeClr>
              </a:solidFill>
              <a:ln w="19050">
                <a:solidFill>
                  <a:schemeClr val="accent1">
                    <a:lumMod val="70000"/>
                    <a:lumMod val="75000"/>
                  </a:schemeClr>
                </a:solidFill>
              </a:ln>
              <a:effectLst>
                <a:innerShdw blurRad="114300">
                  <a:schemeClr val="accent1">
                    <a:lumMod val="70000"/>
                    <a:lumMod val="75000"/>
                  </a:schemeClr>
                </a:innerShdw>
              </a:effectLst>
              <a:scene3d>
                <a:camera prst="orthographicFront"/>
                <a:lightRig rig="threePt" dir="t"/>
              </a:scene3d>
              <a:sp3d contourW="19050" prstMaterial="flat">
                <a:contourClr>
                  <a:schemeClr val="accent1">
                    <a:lumMod val="70000"/>
                    <a:lumMod val="75000"/>
                  </a:schemeClr>
                </a:contourClr>
              </a:sp3d>
            </c:spPr>
            <c:extLst>
              <c:ext xmlns:c16="http://schemas.microsoft.com/office/drawing/2014/chart" uri="{C3380CC4-5D6E-409C-BE32-E72D297353CC}">
                <c16:uniqueId val="{00000061-0D85-044B-858F-3BF2B2A838EC}"/>
              </c:ext>
            </c:extLst>
          </c:dPt>
          <c:dPt>
            <c:idx val="97"/>
            <c:bubble3D val="0"/>
            <c:spPr>
              <a:solidFill>
                <a:schemeClr val="accent2">
                  <a:lumMod val="70000"/>
                  <a:alpha val="90000"/>
                </a:schemeClr>
              </a:solidFill>
              <a:ln w="19050">
                <a:solidFill>
                  <a:schemeClr val="accent2">
                    <a:lumMod val="70000"/>
                    <a:lumMod val="75000"/>
                  </a:schemeClr>
                </a:solidFill>
              </a:ln>
              <a:effectLst>
                <a:innerShdw blurRad="114300">
                  <a:schemeClr val="accent2">
                    <a:lumMod val="70000"/>
                    <a:lumMod val="75000"/>
                  </a:schemeClr>
                </a:innerShdw>
              </a:effectLst>
              <a:scene3d>
                <a:camera prst="orthographicFront"/>
                <a:lightRig rig="threePt" dir="t"/>
              </a:scene3d>
              <a:sp3d contourW="19050" prstMaterial="flat">
                <a:contourClr>
                  <a:schemeClr val="accent2">
                    <a:lumMod val="70000"/>
                    <a:lumMod val="75000"/>
                  </a:schemeClr>
                </a:contourClr>
              </a:sp3d>
            </c:spPr>
            <c:extLst>
              <c:ext xmlns:c16="http://schemas.microsoft.com/office/drawing/2014/chart" uri="{C3380CC4-5D6E-409C-BE32-E72D297353CC}">
                <c16:uniqueId val="{00000062-0D85-044B-858F-3BF2B2A838EC}"/>
              </c:ext>
            </c:extLst>
          </c:dPt>
          <c:dPt>
            <c:idx val="98"/>
            <c:bubble3D val="0"/>
            <c:spPr>
              <a:solidFill>
                <a:schemeClr val="accent3">
                  <a:lumMod val="70000"/>
                  <a:alpha val="90000"/>
                </a:schemeClr>
              </a:solidFill>
              <a:ln w="19050">
                <a:solidFill>
                  <a:schemeClr val="accent3">
                    <a:lumMod val="70000"/>
                    <a:lumMod val="75000"/>
                  </a:schemeClr>
                </a:solidFill>
              </a:ln>
              <a:effectLst>
                <a:innerShdw blurRad="114300">
                  <a:schemeClr val="accent3">
                    <a:lumMod val="70000"/>
                    <a:lumMod val="75000"/>
                  </a:schemeClr>
                </a:innerShdw>
              </a:effectLst>
              <a:scene3d>
                <a:camera prst="orthographicFront"/>
                <a:lightRig rig="threePt" dir="t"/>
              </a:scene3d>
              <a:sp3d contourW="19050" prstMaterial="flat">
                <a:contourClr>
                  <a:schemeClr val="accent3">
                    <a:lumMod val="70000"/>
                    <a:lumMod val="75000"/>
                  </a:schemeClr>
                </a:contourClr>
              </a:sp3d>
            </c:spPr>
            <c:extLst>
              <c:ext xmlns:c16="http://schemas.microsoft.com/office/drawing/2014/chart" uri="{C3380CC4-5D6E-409C-BE32-E72D297353CC}">
                <c16:uniqueId val="{00000063-0D85-044B-858F-3BF2B2A838EC}"/>
              </c:ext>
            </c:extLst>
          </c:dPt>
          <c:dPt>
            <c:idx val="99"/>
            <c:bubble3D val="0"/>
            <c:spPr>
              <a:solidFill>
                <a:schemeClr val="accent4">
                  <a:lumMod val="70000"/>
                  <a:alpha val="90000"/>
                </a:schemeClr>
              </a:solidFill>
              <a:ln w="19050">
                <a:solidFill>
                  <a:schemeClr val="accent4">
                    <a:lumMod val="70000"/>
                    <a:lumMod val="75000"/>
                  </a:schemeClr>
                </a:solidFill>
              </a:ln>
              <a:effectLst>
                <a:innerShdw blurRad="114300">
                  <a:schemeClr val="accent4">
                    <a:lumMod val="70000"/>
                    <a:lumMod val="75000"/>
                  </a:schemeClr>
                </a:innerShdw>
              </a:effectLst>
              <a:scene3d>
                <a:camera prst="orthographicFront"/>
                <a:lightRig rig="threePt" dir="t"/>
              </a:scene3d>
              <a:sp3d contourW="19050" prstMaterial="flat">
                <a:contourClr>
                  <a:schemeClr val="accent4">
                    <a:lumMod val="70000"/>
                    <a:lumMod val="75000"/>
                  </a:schemeClr>
                </a:contourClr>
              </a:sp3d>
            </c:spPr>
            <c:extLst>
              <c:ext xmlns:c16="http://schemas.microsoft.com/office/drawing/2014/chart" uri="{C3380CC4-5D6E-409C-BE32-E72D297353CC}">
                <c16:uniqueId val="{00000064-0D85-044B-858F-3BF2B2A838EC}"/>
              </c:ext>
            </c:extLst>
          </c:dPt>
          <c:dLbls>
            <c:dLbl>
              <c:idx val="0"/>
              <c:layout>
                <c:manualLayout>
                  <c:x val="1.3927918259173978E-3"/>
                  <c:y val="-2.0802175501258218E-2"/>
                </c:manualLayout>
              </c:layout>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A"/>
                </a:p>
              </c:txPr>
              <c:dLblPos val="bestFit"/>
              <c:showLegendKey val="0"/>
              <c:showVal val="0"/>
              <c:showCatName val="1"/>
              <c:showSerName val="0"/>
              <c:showPercent val="1"/>
              <c:showBubbleSize val="0"/>
              <c:extLst>
                <c:ext xmlns:c15="http://schemas.microsoft.com/office/drawing/2012/chart" uri="{CE6537A1-D6FC-4f65-9D91-7224C49458BB}">
                  <c15:layout>
                    <c:manualLayout>
                      <c:w val="0.29051377952755908"/>
                      <c:h val="0.11206036745406824"/>
                    </c:manualLayout>
                  </c15:layout>
                </c:ext>
                <c:ext xmlns:c16="http://schemas.microsoft.com/office/drawing/2014/chart" uri="{C3380CC4-5D6E-409C-BE32-E72D297353CC}">
                  <c16:uniqueId val="{00000001-0D85-044B-858F-3BF2B2A838EC}"/>
                </c:ext>
              </c:extLst>
            </c:dLbl>
            <c:dLbl>
              <c:idx val="1"/>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2-0D85-044B-858F-3BF2B2A838EC}"/>
                </c:ext>
              </c:extLst>
            </c:dLbl>
            <c:dLbl>
              <c:idx val="2"/>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3-0D85-044B-858F-3BF2B2A838EC}"/>
                </c:ext>
              </c:extLst>
            </c:dLbl>
            <c:dLbl>
              <c:idx val="3"/>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4-0D85-044B-858F-3BF2B2A838EC}"/>
                </c:ext>
              </c:extLst>
            </c:dLbl>
            <c:dLbl>
              <c:idx val="4"/>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A"/>
                </a:p>
              </c:txPr>
              <c:dLblPos val="inEnd"/>
              <c:showLegendKey val="0"/>
              <c:showVal val="0"/>
              <c:showCatName val="1"/>
              <c:showSerName val="0"/>
              <c:showPercent val="1"/>
              <c:showBubbleSize val="0"/>
              <c:extLst>
                <c:ext xmlns:c15="http://schemas.microsoft.com/office/drawing/2012/chart" uri="{CE6537A1-D6FC-4f65-9D91-7224C49458BB}">
                  <c15:layout>
                    <c:manualLayout>
                      <c:w val="0.12820844269466317"/>
                      <c:h val="0.12689814814814815"/>
                    </c:manualLayout>
                  </c15:layout>
                </c:ext>
                <c:ext xmlns:c16="http://schemas.microsoft.com/office/drawing/2014/chart" uri="{C3380CC4-5D6E-409C-BE32-E72D297353CC}">
                  <c16:uniqueId val="{00000005-0D85-044B-858F-3BF2B2A838EC}"/>
                </c:ext>
              </c:extLst>
            </c:dLbl>
            <c:dLbl>
              <c:idx val="5"/>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6-0D85-044B-858F-3BF2B2A838EC}"/>
                </c:ext>
              </c:extLst>
            </c:dLbl>
            <c:dLbl>
              <c:idx val="6"/>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7-0D85-044B-858F-3BF2B2A838EC}"/>
                </c:ext>
              </c:extLst>
            </c:dLbl>
            <c:dLbl>
              <c:idx val="7"/>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8-0D85-044B-858F-3BF2B2A838EC}"/>
                </c:ext>
              </c:extLst>
            </c:dLbl>
            <c:dLbl>
              <c:idx val="8"/>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9-0D85-044B-858F-3BF2B2A838EC}"/>
                </c:ext>
              </c:extLst>
            </c:dLbl>
            <c:dLbl>
              <c:idx val="9"/>
              <c:spPr>
                <a:solidFill>
                  <a:schemeClr val="lt1">
                    <a:alpha val="90000"/>
                  </a:schemeClr>
                </a:solidFill>
                <a:ln w="12700" cap="flat" cmpd="sng" algn="ctr">
                  <a:solidFill>
                    <a:schemeClr val="accent4">
                      <a:lumMod val="60000"/>
                    </a:schemeClr>
                  </a:solidFill>
                  <a:round/>
                </a:ln>
                <a:effectLst>
                  <a:outerShdw blurRad="50800" dist="38100" dir="2700000" algn="tl" rotWithShape="0">
                    <a:schemeClr val="accent4">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A-0D85-044B-858F-3BF2B2A838EC}"/>
                </c:ext>
              </c:extLst>
            </c:dLbl>
            <c:dLbl>
              <c:idx val="10"/>
              <c:spPr>
                <a:solidFill>
                  <a:schemeClr val="lt1">
                    <a:alpha val="90000"/>
                  </a:schemeClr>
                </a:solidFill>
                <a:ln w="12700" cap="flat" cmpd="sng" algn="ctr">
                  <a:solidFill>
                    <a:schemeClr val="accent5">
                      <a:lumMod val="60000"/>
                    </a:schemeClr>
                  </a:solidFill>
                  <a:round/>
                </a:ln>
                <a:effectLst>
                  <a:outerShdw blurRad="50800" dist="38100" dir="2700000" algn="tl" rotWithShape="0">
                    <a:schemeClr val="accent5">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B-0D85-044B-858F-3BF2B2A838EC}"/>
                </c:ext>
              </c:extLst>
            </c:dLbl>
            <c:dLbl>
              <c:idx val="11"/>
              <c:spPr>
                <a:solidFill>
                  <a:schemeClr val="lt1">
                    <a:alpha val="90000"/>
                  </a:schemeClr>
                </a:solidFill>
                <a:ln w="12700" cap="flat" cmpd="sng" algn="ctr">
                  <a:solidFill>
                    <a:schemeClr val="accent6">
                      <a:lumMod val="60000"/>
                    </a:schemeClr>
                  </a:solidFill>
                  <a:round/>
                </a:ln>
                <a:effectLst>
                  <a:outerShdw blurRad="50800" dist="38100" dir="2700000" algn="tl" rotWithShape="0">
                    <a:schemeClr val="accent6">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C-0D85-044B-858F-3BF2B2A838EC}"/>
                </c:ext>
              </c:extLst>
            </c:dLbl>
            <c:dLbl>
              <c:idx val="12"/>
              <c:spPr>
                <a:solidFill>
                  <a:schemeClr val="lt1">
                    <a:alpha val="90000"/>
                  </a:schemeClr>
                </a:solidFill>
                <a:ln w="12700" cap="flat" cmpd="sng" algn="ctr">
                  <a:solidFill>
                    <a:schemeClr val="accent1">
                      <a:lumMod val="80000"/>
                      <a:lumOff val="20000"/>
                    </a:schemeClr>
                  </a:solidFill>
                  <a:round/>
                </a:ln>
                <a:effectLst>
                  <a:outerShdw blurRad="50800" dist="38100" dir="2700000" algn="tl" rotWithShape="0">
                    <a:schemeClr val="accent1">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D-0D85-044B-858F-3BF2B2A838EC}"/>
                </c:ext>
              </c:extLst>
            </c:dLbl>
            <c:dLbl>
              <c:idx val="13"/>
              <c:spPr>
                <a:solidFill>
                  <a:schemeClr val="lt1">
                    <a:alpha val="90000"/>
                  </a:schemeClr>
                </a:solidFill>
                <a:ln w="12700" cap="flat" cmpd="sng" algn="ctr">
                  <a:solidFill>
                    <a:schemeClr val="accent2">
                      <a:lumMod val="80000"/>
                      <a:lumOff val="20000"/>
                    </a:schemeClr>
                  </a:solidFill>
                  <a:round/>
                </a:ln>
                <a:effectLst>
                  <a:outerShdw blurRad="50800" dist="38100" dir="2700000" algn="tl" rotWithShape="0">
                    <a:schemeClr val="accent2">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E-0D85-044B-858F-3BF2B2A838EC}"/>
                </c:ext>
              </c:extLst>
            </c:dLbl>
            <c:dLbl>
              <c:idx val="14"/>
              <c:spPr>
                <a:solidFill>
                  <a:schemeClr val="lt1">
                    <a:alpha val="90000"/>
                  </a:schemeClr>
                </a:solidFill>
                <a:ln w="12700" cap="flat" cmpd="sng" algn="ctr">
                  <a:solidFill>
                    <a:schemeClr val="accent3">
                      <a:lumMod val="80000"/>
                      <a:lumOff val="20000"/>
                    </a:schemeClr>
                  </a:solidFill>
                  <a:round/>
                </a:ln>
                <a:effectLst>
                  <a:outerShdw blurRad="50800" dist="38100" dir="2700000" algn="tl" rotWithShape="0">
                    <a:schemeClr val="accent3">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F-0D85-044B-858F-3BF2B2A838EC}"/>
                </c:ext>
              </c:extLst>
            </c:dLbl>
            <c:dLbl>
              <c:idx val="15"/>
              <c:spPr>
                <a:solidFill>
                  <a:schemeClr val="lt1">
                    <a:alpha val="90000"/>
                  </a:schemeClr>
                </a:solidFill>
                <a:ln w="12700" cap="flat" cmpd="sng" algn="ctr">
                  <a:solidFill>
                    <a:schemeClr val="accent4">
                      <a:lumMod val="80000"/>
                      <a:lumOff val="20000"/>
                    </a:schemeClr>
                  </a:solidFill>
                  <a:round/>
                </a:ln>
                <a:effectLst>
                  <a:outerShdw blurRad="50800" dist="38100" dir="2700000" algn="tl" rotWithShape="0">
                    <a:schemeClr val="accent4">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0-0D85-044B-858F-3BF2B2A838EC}"/>
                </c:ext>
              </c:extLst>
            </c:dLbl>
            <c:dLbl>
              <c:idx val="16"/>
              <c:spPr>
                <a:solidFill>
                  <a:schemeClr val="lt1">
                    <a:alpha val="90000"/>
                  </a:schemeClr>
                </a:solidFill>
                <a:ln w="12700" cap="flat" cmpd="sng" algn="ctr">
                  <a:solidFill>
                    <a:schemeClr val="accent5">
                      <a:lumMod val="80000"/>
                      <a:lumOff val="20000"/>
                    </a:schemeClr>
                  </a:solidFill>
                  <a:round/>
                </a:ln>
                <a:effectLst>
                  <a:outerShdw blurRad="50800" dist="38100" dir="2700000" algn="tl" rotWithShape="0">
                    <a:schemeClr val="accent5">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1-0D85-044B-858F-3BF2B2A838EC}"/>
                </c:ext>
              </c:extLst>
            </c:dLbl>
            <c:dLbl>
              <c:idx val="17"/>
              <c:spPr>
                <a:solidFill>
                  <a:schemeClr val="lt1">
                    <a:alpha val="90000"/>
                  </a:schemeClr>
                </a:solidFill>
                <a:ln w="12700" cap="flat" cmpd="sng" algn="ctr">
                  <a:solidFill>
                    <a:schemeClr val="accent6">
                      <a:lumMod val="80000"/>
                      <a:lumOff val="20000"/>
                    </a:schemeClr>
                  </a:solidFill>
                  <a:round/>
                </a:ln>
                <a:effectLst>
                  <a:outerShdw blurRad="50800" dist="38100" dir="2700000" algn="tl" rotWithShape="0">
                    <a:schemeClr val="accent6">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2-0D85-044B-858F-3BF2B2A838EC}"/>
                </c:ext>
              </c:extLst>
            </c:dLbl>
            <c:dLbl>
              <c:idx val="18"/>
              <c:spPr>
                <a:solidFill>
                  <a:schemeClr val="lt1">
                    <a:alpha val="90000"/>
                  </a:schemeClr>
                </a:solidFill>
                <a:ln w="12700" cap="flat" cmpd="sng" algn="ctr">
                  <a:solidFill>
                    <a:schemeClr val="accent1">
                      <a:lumMod val="80000"/>
                    </a:schemeClr>
                  </a:solidFill>
                  <a:round/>
                </a:ln>
                <a:effectLst>
                  <a:outerShdw blurRad="50800" dist="38100" dir="2700000" algn="tl" rotWithShape="0">
                    <a:schemeClr val="accent1">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3-0D85-044B-858F-3BF2B2A838EC}"/>
                </c:ext>
              </c:extLst>
            </c:dLbl>
            <c:dLbl>
              <c:idx val="19"/>
              <c:spPr>
                <a:solidFill>
                  <a:schemeClr val="lt1">
                    <a:alpha val="90000"/>
                  </a:schemeClr>
                </a:solidFill>
                <a:ln w="12700" cap="flat" cmpd="sng" algn="ctr">
                  <a:solidFill>
                    <a:schemeClr val="accent2">
                      <a:lumMod val="80000"/>
                    </a:schemeClr>
                  </a:solidFill>
                  <a:round/>
                </a:ln>
                <a:effectLst>
                  <a:outerShdw blurRad="50800" dist="38100" dir="2700000" algn="tl" rotWithShape="0">
                    <a:schemeClr val="accent2">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4-0D85-044B-858F-3BF2B2A838EC}"/>
                </c:ext>
              </c:extLst>
            </c:dLbl>
            <c:dLbl>
              <c:idx val="20"/>
              <c:spPr>
                <a:solidFill>
                  <a:schemeClr val="lt1">
                    <a:alpha val="90000"/>
                  </a:schemeClr>
                </a:solidFill>
                <a:ln w="12700" cap="flat" cmpd="sng" algn="ctr">
                  <a:solidFill>
                    <a:schemeClr val="accent3">
                      <a:lumMod val="80000"/>
                    </a:schemeClr>
                  </a:solidFill>
                  <a:round/>
                </a:ln>
                <a:effectLst>
                  <a:outerShdw blurRad="50800" dist="38100" dir="2700000" algn="tl" rotWithShape="0">
                    <a:schemeClr val="accent3">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5-0D85-044B-858F-3BF2B2A838EC}"/>
                </c:ext>
              </c:extLst>
            </c:dLbl>
            <c:dLbl>
              <c:idx val="21"/>
              <c:spPr>
                <a:solidFill>
                  <a:schemeClr val="lt1">
                    <a:alpha val="90000"/>
                  </a:schemeClr>
                </a:solidFill>
                <a:ln w="12700" cap="flat" cmpd="sng" algn="ctr">
                  <a:solidFill>
                    <a:schemeClr val="accent4">
                      <a:lumMod val="80000"/>
                    </a:schemeClr>
                  </a:solidFill>
                  <a:round/>
                </a:ln>
                <a:effectLst>
                  <a:outerShdw blurRad="50800" dist="38100" dir="2700000" algn="tl" rotWithShape="0">
                    <a:schemeClr val="accent4">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6-0D85-044B-858F-3BF2B2A838EC}"/>
                </c:ext>
              </c:extLst>
            </c:dLbl>
            <c:dLbl>
              <c:idx val="22"/>
              <c:spPr>
                <a:solidFill>
                  <a:schemeClr val="lt1">
                    <a:alpha val="90000"/>
                  </a:schemeClr>
                </a:solidFill>
                <a:ln w="12700" cap="flat" cmpd="sng" algn="ctr">
                  <a:solidFill>
                    <a:schemeClr val="accent5">
                      <a:lumMod val="80000"/>
                    </a:schemeClr>
                  </a:solidFill>
                  <a:round/>
                </a:ln>
                <a:effectLst>
                  <a:outerShdw blurRad="50800" dist="38100" dir="2700000" algn="tl" rotWithShape="0">
                    <a:schemeClr val="accent5">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7-0D85-044B-858F-3BF2B2A838EC}"/>
                </c:ext>
              </c:extLst>
            </c:dLbl>
            <c:dLbl>
              <c:idx val="23"/>
              <c:spPr>
                <a:solidFill>
                  <a:schemeClr val="lt1">
                    <a:alpha val="90000"/>
                  </a:schemeClr>
                </a:solidFill>
                <a:ln w="12700" cap="flat" cmpd="sng" algn="ctr">
                  <a:solidFill>
                    <a:schemeClr val="accent6">
                      <a:lumMod val="80000"/>
                    </a:schemeClr>
                  </a:solidFill>
                  <a:round/>
                </a:ln>
                <a:effectLst>
                  <a:outerShdw blurRad="50800" dist="38100" dir="2700000" algn="tl" rotWithShape="0">
                    <a:schemeClr val="accent6">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8-0D85-044B-858F-3BF2B2A838EC}"/>
                </c:ext>
              </c:extLst>
            </c:dLbl>
            <c:dLbl>
              <c:idx val="24"/>
              <c:spPr>
                <a:solidFill>
                  <a:schemeClr val="lt1">
                    <a:alpha val="90000"/>
                  </a:schemeClr>
                </a:solidFill>
                <a:ln w="12700" cap="flat" cmpd="sng" algn="ctr">
                  <a:solidFill>
                    <a:schemeClr val="accent1">
                      <a:lumMod val="60000"/>
                      <a:lumOff val="40000"/>
                    </a:schemeClr>
                  </a:solidFill>
                  <a:round/>
                </a:ln>
                <a:effectLst>
                  <a:outerShdw blurRad="50800" dist="38100" dir="2700000" algn="tl" rotWithShape="0">
                    <a:schemeClr val="accent1">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9-0D85-044B-858F-3BF2B2A838EC}"/>
                </c:ext>
              </c:extLst>
            </c:dLbl>
            <c:dLbl>
              <c:idx val="25"/>
              <c:spPr>
                <a:solidFill>
                  <a:schemeClr val="lt1">
                    <a:alpha val="90000"/>
                  </a:schemeClr>
                </a:solidFill>
                <a:ln w="12700" cap="flat" cmpd="sng" algn="ctr">
                  <a:solidFill>
                    <a:schemeClr val="accent2">
                      <a:lumMod val="60000"/>
                      <a:lumOff val="40000"/>
                    </a:schemeClr>
                  </a:solidFill>
                  <a:round/>
                </a:ln>
                <a:effectLst>
                  <a:outerShdw blurRad="50800" dist="38100" dir="2700000" algn="tl" rotWithShape="0">
                    <a:schemeClr val="accent2">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A-0D85-044B-858F-3BF2B2A838EC}"/>
                </c:ext>
              </c:extLst>
            </c:dLbl>
            <c:dLbl>
              <c:idx val="26"/>
              <c:spPr>
                <a:solidFill>
                  <a:schemeClr val="lt1">
                    <a:alpha val="90000"/>
                  </a:schemeClr>
                </a:solidFill>
                <a:ln w="12700" cap="flat" cmpd="sng" algn="ctr">
                  <a:solidFill>
                    <a:schemeClr val="accent3">
                      <a:lumMod val="60000"/>
                      <a:lumOff val="40000"/>
                    </a:schemeClr>
                  </a:solidFill>
                  <a:round/>
                </a:ln>
                <a:effectLst>
                  <a:outerShdw blurRad="50800" dist="38100" dir="2700000" algn="tl" rotWithShape="0">
                    <a:schemeClr val="accent3">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B-0D85-044B-858F-3BF2B2A838EC}"/>
                </c:ext>
              </c:extLst>
            </c:dLbl>
            <c:dLbl>
              <c:idx val="27"/>
              <c:spPr>
                <a:solidFill>
                  <a:schemeClr val="lt1">
                    <a:alpha val="90000"/>
                  </a:schemeClr>
                </a:solidFill>
                <a:ln w="12700" cap="flat" cmpd="sng" algn="ctr">
                  <a:solidFill>
                    <a:schemeClr val="accent4">
                      <a:lumMod val="60000"/>
                      <a:lumOff val="40000"/>
                    </a:schemeClr>
                  </a:solidFill>
                  <a:round/>
                </a:ln>
                <a:effectLst>
                  <a:outerShdw blurRad="50800" dist="38100" dir="2700000" algn="tl" rotWithShape="0">
                    <a:schemeClr val="accent4">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C-0D85-044B-858F-3BF2B2A838EC}"/>
                </c:ext>
              </c:extLst>
            </c:dLbl>
            <c:dLbl>
              <c:idx val="28"/>
              <c:spPr>
                <a:solidFill>
                  <a:schemeClr val="lt1">
                    <a:alpha val="90000"/>
                  </a:schemeClr>
                </a:solidFill>
                <a:ln w="12700" cap="flat" cmpd="sng" algn="ctr">
                  <a:solidFill>
                    <a:schemeClr val="accent5">
                      <a:lumMod val="60000"/>
                      <a:lumOff val="40000"/>
                    </a:schemeClr>
                  </a:solidFill>
                  <a:round/>
                </a:ln>
                <a:effectLst>
                  <a:outerShdw blurRad="50800" dist="38100" dir="2700000" algn="tl" rotWithShape="0">
                    <a:schemeClr val="accent5">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D-0D85-044B-858F-3BF2B2A838EC}"/>
                </c:ext>
              </c:extLst>
            </c:dLbl>
            <c:dLbl>
              <c:idx val="29"/>
              <c:spPr>
                <a:solidFill>
                  <a:schemeClr val="lt1">
                    <a:alpha val="90000"/>
                  </a:schemeClr>
                </a:solidFill>
                <a:ln w="12700" cap="flat" cmpd="sng" algn="ctr">
                  <a:solidFill>
                    <a:schemeClr val="accent6">
                      <a:lumMod val="60000"/>
                      <a:lumOff val="40000"/>
                    </a:schemeClr>
                  </a:solidFill>
                  <a:round/>
                </a:ln>
                <a:effectLst>
                  <a:outerShdw blurRad="50800" dist="38100" dir="2700000" algn="tl" rotWithShape="0">
                    <a:schemeClr val="accent6">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E-0D85-044B-858F-3BF2B2A838EC}"/>
                </c:ext>
              </c:extLst>
            </c:dLbl>
            <c:dLbl>
              <c:idx val="30"/>
              <c:spPr>
                <a:solidFill>
                  <a:schemeClr val="lt1">
                    <a:alpha val="90000"/>
                  </a:schemeClr>
                </a:solidFill>
                <a:ln w="12700" cap="flat" cmpd="sng" algn="ctr">
                  <a:solidFill>
                    <a:schemeClr val="accent1">
                      <a:lumMod val="50000"/>
                    </a:schemeClr>
                  </a:solidFill>
                  <a:round/>
                </a:ln>
                <a:effectLst>
                  <a:outerShdw blurRad="50800" dist="38100" dir="2700000" algn="tl" rotWithShape="0">
                    <a:schemeClr val="accent1">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F-0D85-044B-858F-3BF2B2A838EC}"/>
                </c:ext>
              </c:extLst>
            </c:dLbl>
            <c:dLbl>
              <c:idx val="31"/>
              <c:spPr>
                <a:solidFill>
                  <a:schemeClr val="lt1">
                    <a:alpha val="90000"/>
                  </a:schemeClr>
                </a:solidFill>
                <a:ln w="12700" cap="flat" cmpd="sng" algn="ctr">
                  <a:solidFill>
                    <a:schemeClr val="accent2">
                      <a:lumMod val="50000"/>
                    </a:schemeClr>
                  </a:solidFill>
                  <a:round/>
                </a:ln>
                <a:effectLst>
                  <a:outerShdw blurRad="50800" dist="38100" dir="2700000" algn="tl" rotWithShape="0">
                    <a:schemeClr val="accent2">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0-0D85-044B-858F-3BF2B2A838EC}"/>
                </c:ext>
              </c:extLst>
            </c:dLbl>
            <c:dLbl>
              <c:idx val="32"/>
              <c:spPr>
                <a:solidFill>
                  <a:schemeClr val="lt1">
                    <a:alpha val="90000"/>
                  </a:schemeClr>
                </a:solidFill>
                <a:ln w="12700" cap="flat" cmpd="sng" algn="ctr">
                  <a:solidFill>
                    <a:schemeClr val="accent3">
                      <a:lumMod val="50000"/>
                    </a:schemeClr>
                  </a:solidFill>
                  <a:round/>
                </a:ln>
                <a:effectLst>
                  <a:outerShdw blurRad="50800" dist="38100" dir="2700000" algn="tl" rotWithShape="0">
                    <a:schemeClr val="accent3">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1-0D85-044B-858F-3BF2B2A838EC}"/>
                </c:ext>
              </c:extLst>
            </c:dLbl>
            <c:dLbl>
              <c:idx val="33"/>
              <c:spPr>
                <a:solidFill>
                  <a:schemeClr val="lt1">
                    <a:alpha val="90000"/>
                  </a:schemeClr>
                </a:solidFill>
                <a:ln w="12700" cap="flat" cmpd="sng" algn="ctr">
                  <a:solidFill>
                    <a:schemeClr val="accent4">
                      <a:lumMod val="50000"/>
                    </a:schemeClr>
                  </a:solidFill>
                  <a:round/>
                </a:ln>
                <a:effectLst>
                  <a:outerShdw blurRad="50800" dist="38100" dir="2700000" algn="tl" rotWithShape="0">
                    <a:schemeClr val="accent4">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2-0D85-044B-858F-3BF2B2A838EC}"/>
                </c:ext>
              </c:extLst>
            </c:dLbl>
            <c:dLbl>
              <c:idx val="34"/>
              <c:spPr>
                <a:solidFill>
                  <a:schemeClr val="lt1">
                    <a:alpha val="90000"/>
                  </a:schemeClr>
                </a:solidFill>
                <a:ln w="12700" cap="flat" cmpd="sng" algn="ctr">
                  <a:solidFill>
                    <a:schemeClr val="accent5">
                      <a:lumMod val="50000"/>
                    </a:schemeClr>
                  </a:solidFill>
                  <a:round/>
                </a:ln>
                <a:effectLst>
                  <a:outerShdw blurRad="50800" dist="38100" dir="2700000" algn="tl" rotWithShape="0">
                    <a:schemeClr val="accent5">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3-0D85-044B-858F-3BF2B2A838EC}"/>
                </c:ext>
              </c:extLst>
            </c:dLbl>
            <c:dLbl>
              <c:idx val="35"/>
              <c:spPr>
                <a:solidFill>
                  <a:schemeClr val="lt1">
                    <a:alpha val="90000"/>
                  </a:schemeClr>
                </a:solidFill>
                <a:ln w="12700" cap="flat" cmpd="sng" algn="ctr">
                  <a:solidFill>
                    <a:schemeClr val="accent6">
                      <a:lumMod val="50000"/>
                    </a:schemeClr>
                  </a:solidFill>
                  <a:round/>
                </a:ln>
                <a:effectLst>
                  <a:outerShdw blurRad="50800" dist="38100" dir="2700000" algn="tl" rotWithShape="0">
                    <a:schemeClr val="accent6">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4-0D85-044B-858F-3BF2B2A838EC}"/>
                </c:ext>
              </c:extLst>
            </c:dLbl>
            <c:dLbl>
              <c:idx val="36"/>
              <c:spPr>
                <a:solidFill>
                  <a:schemeClr val="lt1">
                    <a:alpha val="90000"/>
                  </a:schemeClr>
                </a:solidFill>
                <a:ln w="12700" cap="flat" cmpd="sng" algn="ctr">
                  <a:solidFill>
                    <a:schemeClr val="accent1">
                      <a:lumMod val="70000"/>
                      <a:lumOff val="30000"/>
                    </a:schemeClr>
                  </a:solidFill>
                  <a:round/>
                </a:ln>
                <a:effectLst>
                  <a:outerShdw blurRad="50800" dist="38100" dir="2700000" algn="tl" rotWithShape="0">
                    <a:schemeClr val="accent1">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5-0D85-044B-858F-3BF2B2A838EC}"/>
                </c:ext>
              </c:extLst>
            </c:dLbl>
            <c:dLbl>
              <c:idx val="37"/>
              <c:spPr>
                <a:solidFill>
                  <a:schemeClr val="lt1">
                    <a:alpha val="90000"/>
                  </a:schemeClr>
                </a:solidFill>
                <a:ln w="12700" cap="flat" cmpd="sng" algn="ctr">
                  <a:solidFill>
                    <a:schemeClr val="accent2">
                      <a:lumMod val="70000"/>
                      <a:lumOff val="30000"/>
                    </a:schemeClr>
                  </a:solidFill>
                  <a:round/>
                </a:ln>
                <a:effectLst>
                  <a:outerShdw blurRad="50800" dist="38100" dir="2700000" algn="tl" rotWithShape="0">
                    <a:schemeClr val="accent2">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6-0D85-044B-858F-3BF2B2A838EC}"/>
                </c:ext>
              </c:extLst>
            </c:dLbl>
            <c:dLbl>
              <c:idx val="38"/>
              <c:spPr>
                <a:solidFill>
                  <a:schemeClr val="lt1">
                    <a:alpha val="90000"/>
                  </a:schemeClr>
                </a:solidFill>
                <a:ln w="12700" cap="flat" cmpd="sng" algn="ctr">
                  <a:solidFill>
                    <a:schemeClr val="accent3">
                      <a:lumMod val="70000"/>
                      <a:lumOff val="30000"/>
                    </a:schemeClr>
                  </a:solidFill>
                  <a:round/>
                </a:ln>
                <a:effectLst>
                  <a:outerShdw blurRad="50800" dist="38100" dir="2700000" algn="tl" rotWithShape="0">
                    <a:schemeClr val="accent3">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7-0D85-044B-858F-3BF2B2A838EC}"/>
                </c:ext>
              </c:extLst>
            </c:dLbl>
            <c:dLbl>
              <c:idx val="39"/>
              <c:spPr>
                <a:solidFill>
                  <a:schemeClr val="lt1">
                    <a:alpha val="90000"/>
                  </a:schemeClr>
                </a:solidFill>
                <a:ln w="12700" cap="flat" cmpd="sng" algn="ctr">
                  <a:solidFill>
                    <a:schemeClr val="accent4">
                      <a:lumMod val="70000"/>
                      <a:lumOff val="30000"/>
                    </a:schemeClr>
                  </a:solidFill>
                  <a:round/>
                </a:ln>
                <a:effectLst>
                  <a:outerShdw blurRad="50800" dist="38100" dir="2700000" algn="tl" rotWithShape="0">
                    <a:schemeClr val="accent4">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8-0D85-044B-858F-3BF2B2A838EC}"/>
                </c:ext>
              </c:extLst>
            </c:dLbl>
            <c:dLbl>
              <c:idx val="40"/>
              <c:spPr>
                <a:solidFill>
                  <a:schemeClr val="lt1">
                    <a:alpha val="90000"/>
                  </a:schemeClr>
                </a:solidFill>
                <a:ln w="12700" cap="flat" cmpd="sng" algn="ctr">
                  <a:solidFill>
                    <a:schemeClr val="accent5">
                      <a:lumMod val="70000"/>
                      <a:lumOff val="30000"/>
                    </a:schemeClr>
                  </a:solidFill>
                  <a:round/>
                </a:ln>
                <a:effectLst>
                  <a:outerShdw blurRad="50800" dist="38100" dir="2700000" algn="tl" rotWithShape="0">
                    <a:schemeClr val="accent5">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9-0D85-044B-858F-3BF2B2A838EC}"/>
                </c:ext>
              </c:extLst>
            </c:dLbl>
            <c:dLbl>
              <c:idx val="41"/>
              <c:spPr>
                <a:solidFill>
                  <a:schemeClr val="lt1">
                    <a:alpha val="90000"/>
                  </a:schemeClr>
                </a:solidFill>
                <a:ln w="12700" cap="flat" cmpd="sng" algn="ctr">
                  <a:solidFill>
                    <a:schemeClr val="accent6">
                      <a:lumMod val="70000"/>
                      <a:lumOff val="30000"/>
                    </a:schemeClr>
                  </a:solidFill>
                  <a:round/>
                </a:ln>
                <a:effectLst>
                  <a:outerShdw blurRad="50800" dist="38100" dir="2700000" algn="tl" rotWithShape="0">
                    <a:schemeClr val="accent6">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A-0D85-044B-858F-3BF2B2A838EC}"/>
                </c:ext>
              </c:extLst>
            </c:dLbl>
            <c:dLbl>
              <c:idx val="42"/>
              <c:spPr>
                <a:solidFill>
                  <a:schemeClr val="lt1">
                    <a:alpha val="90000"/>
                  </a:schemeClr>
                </a:solidFill>
                <a:ln w="12700" cap="flat" cmpd="sng" algn="ctr">
                  <a:solidFill>
                    <a:schemeClr val="accent1">
                      <a:lumMod val="70000"/>
                    </a:schemeClr>
                  </a:solidFill>
                  <a:round/>
                </a:ln>
                <a:effectLst>
                  <a:outerShdw blurRad="50800" dist="38100" dir="2700000" algn="tl" rotWithShape="0">
                    <a:schemeClr val="accent1">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B-0D85-044B-858F-3BF2B2A838EC}"/>
                </c:ext>
              </c:extLst>
            </c:dLbl>
            <c:dLbl>
              <c:idx val="43"/>
              <c:spPr>
                <a:solidFill>
                  <a:schemeClr val="lt1">
                    <a:alpha val="90000"/>
                  </a:schemeClr>
                </a:solidFill>
                <a:ln w="12700" cap="flat" cmpd="sng" algn="ctr">
                  <a:solidFill>
                    <a:schemeClr val="accent2">
                      <a:lumMod val="70000"/>
                    </a:schemeClr>
                  </a:solidFill>
                  <a:round/>
                </a:ln>
                <a:effectLst>
                  <a:outerShdw blurRad="50800" dist="38100" dir="2700000" algn="tl" rotWithShape="0">
                    <a:schemeClr val="accent2">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C-0D85-044B-858F-3BF2B2A838EC}"/>
                </c:ext>
              </c:extLst>
            </c:dLbl>
            <c:dLbl>
              <c:idx val="44"/>
              <c:spPr>
                <a:solidFill>
                  <a:schemeClr val="lt1">
                    <a:alpha val="90000"/>
                  </a:schemeClr>
                </a:solidFill>
                <a:ln w="12700" cap="flat" cmpd="sng" algn="ctr">
                  <a:solidFill>
                    <a:schemeClr val="accent3">
                      <a:lumMod val="70000"/>
                    </a:schemeClr>
                  </a:solidFill>
                  <a:round/>
                </a:ln>
                <a:effectLst>
                  <a:outerShdw blurRad="50800" dist="38100" dir="2700000" algn="tl" rotWithShape="0">
                    <a:schemeClr val="accent3">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D-0D85-044B-858F-3BF2B2A838EC}"/>
                </c:ext>
              </c:extLst>
            </c:dLbl>
            <c:dLbl>
              <c:idx val="45"/>
              <c:spPr>
                <a:solidFill>
                  <a:schemeClr val="lt1">
                    <a:alpha val="90000"/>
                  </a:schemeClr>
                </a:solidFill>
                <a:ln w="12700" cap="flat" cmpd="sng" algn="ctr">
                  <a:solidFill>
                    <a:schemeClr val="accent4">
                      <a:lumMod val="70000"/>
                    </a:schemeClr>
                  </a:solidFill>
                  <a:round/>
                </a:ln>
                <a:effectLst>
                  <a:outerShdw blurRad="50800" dist="38100" dir="2700000" algn="tl" rotWithShape="0">
                    <a:schemeClr val="accent4">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E-0D85-044B-858F-3BF2B2A838EC}"/>
                </c:ext>
              </c:extLst>
            </c:dLbl>
            <c:dLbl>
              <c:idx val="46"/>
              <c:spPr>
                <a:solidFill>
                  <a:schemeClr val="lt1">
                    <a:alpha val="90000"/>
                  </a:schemeClr>
                </a:solidFill>
                <a:ln w="12700" cap="flat" cmpd="sng" algn="ctr">
                  <a:solidFill>
                    <a:schemeClr val="accent5">
                      <a:lumMod val="70000"/>
                    </a:schemeClr>
                  </a:solidFill>
                  <a:round/>
                </a:ln>
                <a:effectLst>
                  <a:outerShdw blurRad="50800" dist="38100" dir="2700000" algn="tl" rotWithShape="0">
                    <a:schemeClr val="accent5">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F-0D85-044B-858F-3BF2B2A838EC}"/>
                </c:ext>
              </c:extLst>
            </c:dLbl>
            <c:dLbl>
              <c:idx val="47"/>
              <c:spPr>
                <a:solidFill>
                  <a:schemeClr val="lt1">
                    <a:alpha val="90000"/>
                  </a:schemeClr>
                </a:solidFill>
                <a:ln w="12700" cap="flat" cmpd="sng" algn="ctr">
                  <a:solidFill>
                    <a:schemeClr val="accent6">
                      <a:lumMod val="70000"/>
                    </a:schemeClr>
                  </a:solidFill>
                  <a:round/>
                </a:ln>
                <a:effectLst>
                  <a:outerShdw blurRad="50800" dist="38100" dir="2700000" algn="tl" rotWithShape="0">
                    <a:schemeClr val="accent6">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0-0D85-044B-858F-3BF2B2A838EC}"/>
                </c:ext>
              </c:extLst>
            </c:dLbl>
            <c:dLbl>
              <c:idx val="48"/>
              <c:spPr>
                <a:solidFill>
                  <a:schemeClr val="lt1">
                    <a:alpha val="90000"/>
                  </a:schemeClr>
                </a:solidFill>
                <a:ln w="12700" cap="flat" cmpd="sng" algn="ctr">
                  <a:solidFill>
                    <a:schemeClr val="accent1">
                      <a:lumMod val="50000"/>
                      <a:lumOff val="50000"/>
                    </a:schemeClr>
                  </a:solidFill>
                  <a:round/>
                </a:ln>
                <a:effectLst>
                  <a:outerShdw blurRad="50800" dist="38100" dir="2700000" algn="tl" rotWithShape="0">
                    <a:schemeClr val="accent1">
                      <a:lumMod val="50000"/>
                      <a:lumOff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lumOff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1-0D85-044B-858F-3BF2B2A838EC}"/>
                </c:ext>
              </c:extLst>
            </c:dLbl>
            <c:dLbl>
              <c:idx val="49"/>
              <c:spPr>
                <a:solidFill>
                  <a:schemeClr val="lt1">
                    <a:alpha val="90000"/>
                  </a:schemeClr>
                </a:solidFill>
                <a:ln w="12700" cap="flat" cmpd="sng" algn="ctr">
                  <a:solidFill>
                    <a:schemeClr val="accent2">
                      <a:lumMod val="50000"/>
                      <a:lumOff val="50000"/>
                    </a:schemeClr>
                  </a:solidFill>
                  <a:round/>
                </a:ln>
                <a:effectLst>
                  <a:outerShdw blurRad="50800" dist="38100" dir="2700000" algn="tl" rotWithShape="0">
                    <a:schemeClr val="accent2">
                      <a:lumMod val="50000"/>
                      <a:lumOff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50000"/>
                          <a:lumOff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2-0D85-044B-858F-3BF2B2A838EC}"/>
                </c:ext>
              </c:extLst>
            </c:dLbl>
            <c:dLbl>
              <c:idx val="50"/>
              <c:spPr>
                <a:solidFill>
                  <a:schemeClr val="lt1">
                    <a:alpha val="90000"/>
                  </a:schemeClr>
                </a:solidFill>
                <a:ln w="12700" cap="flat" cmpd="sng" algn="ctr">
                  <a:solidFill>
                    <a:schemeClr val="accent3">
                      <a:lumMod val="50000"/>
                      <a:lumOff val="50000"/>
                    </a:schemeClr>
                  </a:solidFill>
                  <a:round/>
                </a:ln>
                <a:effectLst>
                  <a:outerShdw blurRad="50800" dist="38100" dir="2700000" algn="tl" rotWithShape="0">
                    <a:schemeClr val="accent3">
                      <a:lumMod val="50000"/>
                      <a:lumOff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50000"/>
                          <a:lumOff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3-0D85-044B-858F-3BF2B2A838EC}"/>
                </c:ext>
              </c:extLst>
            </c:dLbl>
            <c:dLbl>
              <c:idx val="51"/>
              <c:spPr>
                <a:solidFill>
                  <a:schemeClr val="lt1">
                    <a:alpha val="90000"/>
                  </a:schemeClr>
                </a:solidFill>
                <a:ln w="12700" cap="flat" cmpd="sng" algn="ctr">
                  <a:solidFill>
                    <a:schemeClr val="accent4">
                      <a:lumMod val="50000"/>
                      <a:lumOff val="50000"/>
                    </a:schemeClr>
                  </a:solidFill>
                  <a:round/>
                </a:ln>
                <a:effectLst>
                  <a:outerShdw blurRad="50800" dist="38100" dir="2700000" algn="tl" rotWithShape="0">
                    <a:schemeClr val="accent4">
                      <a:lumMod val="50000"/>
                      <a:lumOff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50000"/>
                          <a:lumOff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4-0D85-044B-858F-3BF2B2A838EC}"/>
                </c:ext>
              </c:extLst>
            </c:dLbl>
            <c:dLbl>
              <c:idx val="52"/>
              <c:spPr>
                <a:solidFill>
                  <a:schemeClr val="lt1">
                    <a:alpha val="90000"/>
                  </a:schemeClr>
                </a:solidFill>
                <a:ln w="12700" cap="flat" cmpd="sng" algn="ctr">
                  <a:solidFill>
                    <a:schemeClr val="accent5">
                      <a:lumMod val="50000"/>
                      <a:lumOff val="50000"/>
                    </a:schemeClr>
                  </a:solidFill>
                  <a:round/>
                </a:ln>
                <a:effectLst>
                  <a:outerShdw blurRad="50800" dist="38100" dir="2700000" algn="tl" rotWithShape="0">
                    <a:schemeClr val="accent5">
                      <a:lumMod val="50000"/>
                      <a:lumOff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50000"/>
                          <a:lumOff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5-0D85-044B-858F-3BF2B2A838EC}"/>
                </c:ext>
              </c:extLst>
            </c:dLbl>
            <c:dLbl>
              <c:idx val="53"/>
              <c:spPr>
                <a:solidFill>
                  <a:schemeClr val="lt1">
                    <a:alpha val="90000"/>
                  </a:schemeClr>
                </a:solidFill>
                <a:ln w="12700" cap="flat" cmpd="sng" algn="ctr">
                  <a:solidFill>
                    <a:schemeClr val="accent6">
                      <a:lumMod val="50000"/>
                      <a:lumOff val="50000"/>
                    </a:schemeClr>
                  </a:solidFill>
                  <a:round/>
                </a:ln>
                <a:effectLst>
                  <a:outerShdw blurRad="50800" dist="38100" dir="2700000" algn="tl" rotWithShape="0">
                    <a:schemeClr val="accent6">
                      <a:lumMod val="50000"/>
                      <a:lumOff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lumOff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6-0D85-044B-858F-3BF2B2A838EC}"/>
                </c:ext>
              </c:extLst>
            </c:dLbl>
            <c:dLbl>
              <c:idx val="54"/>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7-0D85-044B-858F-3BF2B2A838EC}"/>
                </c:ext>
              </c:extLst>
            </c:dLbl>
            <c:dLbl>
              <c:idx val="55"/>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8-0D85-044B-858F-3BF2B2A838EC}"/>
                </c:ext>
              </c:extLst>
            </c:dLbl>
            <c:dLbl>
              <c:idx val="56"/>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9-0D85-044B-858F-3BF2B2A838EC}"/>
                </c:ext>
              </c:extLst>
            </c:dLbl>
            <c:dLbl>
              <c:idx val="57"/>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A-0D85-044B-858F-3BF2B2A838EC}"/>
                </c:ext>
              </c:extLst>
            </c:dLbl>
            <c:dLbl>
              <c:idx val="58"/>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B-0D85-044B-858F-3BF2B2A838EC}"/>
                </c:ext>
              </c:extLst>
            </c:dLbl>
            <c:dLbl>
              <c:idx val="59"/>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C-0D85-044B-858F-3BF2B2A838EC}"/>
                </c:ext>
              </c:extLst>
            </c:dLbl>
            <c:dLbl>
              <c:idx val="60"/>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D-0D85-044B-858F-3BF2B2A838EC}"/>
                </c:ext>
              </c:extLst>
            </c:dLbl>
            <c:dLbl>
              <c:idx val="61"/>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E-0D85-044B-858F-3BF2B2A838EC}"/>
                </c:ext>
              </c:extLst>
            </c:dLbl>
            <c:dLbl>
              <c:idx val="62"/>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F-0D85-044B-858F-3BF2B2A838EC}"/>
                </c:ext>
              </c:extLst>
            </c:dLbl>
            <c:dLbl>
              <c:idx val="63"/>
              <c:spPr>
                <a:solidFill>
                  <a:schemeClr val="lt1">
                    <a:alpha val="90000"/>
                  </a:schemeClr>
                </a:solidFill>
                <a:ln w="12700" cap="flat" cmpd="sng" algn="ctr">
                  <a:solidFill>
                    <a:schemeClr val="accent4">
                      <a:lumMod val="60000"/>
                    </a:schemeClr>
                  </a:solidFill>
                  <a:round/>
                </a:ln>
                <a:effectLst>
                  <a:outerShdw blurRad="50800" dist="38100" dir="2700000" algn="tl" rotWithShape="0">
                    <a:schemeClr val="accent4">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0-0D85-044B-858F-3BF2B2A838EC}"/>
                </c:ext>
              </c:extLst>
            </c:dLbl>
            <c:dLbl>
              <c:idx val="64"/>
              <c:spPr>
                <a:solidFill>
                  <a:schemeClr val="lt1">
                    <a:alpha val="90000"/>
                  </a:schemeClr>
                </a:solidFill>
                <a:ln w="12700" cap="flat" cmpd="sng" algn="ctr">
                  <a:solidFill>
                    <a:schemeClr val="accent5">
                      <a:lumMod val="60000"/>
                    </a:schemeClr>
                  </a:solidFill>
                  <a:round/>
                </a:ln>
                <a:effectLst>
                  <a:outerShdw blurRad="50800" dist="38100" dir="2700000" algn="tl" rotWithShape="0">
                    <a:schemeClr val="accent5">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1-0D85-044B-858F-3BF2B2A838EC}"/>
                </c:ext>
              </c:extLst>
            </c:dLbl>
            <c:dLbl>
              <c:idx val="65"/>
              <c:spPr>
                <a:solidFill>
                  <a:schemeClr val="lt1">
                    <a:alpha val="90000"/>
                  </a:schemeClr>
                </a:solidFill>
                <a:ln w="12700" cap="flat" cmpd="sng" algn="ctr">
                  <a:solidFill>
                    <a:schemeClr val="accent6">
                      <a:lumMod val="60000"/>
                    </a:schemeClr>
                  </a:solidFill>
                  <a:round/>
                </a:ln>
                <a:effectLst>
                  <a:outerShdw blurRad="50800" dist="38100" dir="2700000" algn="tl" rotWithShape="0">
                    <a:schemeClr val="accent6">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2-0D85-044B-858F-3BF2B2A838EC}"/>
                </c:ext>
              </c:extLst>
            </c:dLbl>
            <c:dLbl>
              <c:idx val="66"/>
              <c:spPr>
                <a:solidFill>
                  <a:schemeClr val="lt1">
                    <a:alpha val="90000"/>
                  </a:schemeClr>
                </a:solidFill>
                <a:ln w="12700" cap="flat" cmpd="sng" algn="ctr">
                  <a:solidFill>
                    <a:schemeClr val="accent1">
                      <a:lumMod val="80000"/>
                      <a:lumOff val="20000"/>
                    </a:schemeClr>
                  </a:solidFill>
                  <a:round/>
                </a:ln>
                <a:effectLst>
                  <a:outerShdw blurRad="50800" dist="38100" dir="2700000" algn="tl" rotWithShape="0">
                    <a:schemeClr val="accent1">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3-0D85-044B-858F-3BF2B2A838EC}"/>
                </c:ext>
              </c:extLst>
            </c:dLbl>
            <c:dLbl>
              <c:idx val="67"/>
              <c:spPr>
                <a:solidFill>
                  <a:schemeClr val="lt1">
                    <a:alpha val="90000"/>
                  </a:schemeClr>
                </a:solidFill>
                <a:ln w="12700" cap="flat" cmpd="sng" algn="ctr">
                  <a:solidFill>
                    <a:schemeClr val="accent2">
                      <a:lumMod val="80000"/>
                      <a:lumOff val="20000"/>
                    </a:schemeClr>
                  </a:solidFill>
                  <a:round/>
                </a:ln>
                <a:effectLst>
                  <a:outerShdw blurRad="50800" dist="38100" dir="2700000" algn="tl" rotWithShape="0">
                    <a:schemeClr val="accent2">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4-0D85-044B-858F-3BF2B2A838EC}"/>
                </c:ext>
              </c:extLst>
            </c:dLbl>
            <c:dLbl>
              <c:idx val="68"/>
              <c:spPr>
                <a:solidFill>
                  <a:schemeClr val="lt1">
                    <a:alpha val="90000"/>
                  </a:schemeClr>
                </a:solidFill>
                <a:ln w="12700" cap="flat" cmpd="sng" algn="ctr">
                  <a:solidFill>
                    <a:schemeClr val="accent3">
                      <a:lumMod val="80000"/>
                      <a:lumOff val="20000"/>
                    </a:schemeClr>
                  </a:solidFill>
                  <a:round/>
                </a:ln>
                <a:effectLst>
                  <a:outerShdw blurRad="50800" dist="38100" dir="2700000" algn="tl" rotWithShape="0">
                    <a:schemeClr val="accent3">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5-0D85-044B-858F-3BF2B2A838EC}"/>
                </c:ext>
              </c:extLst>
            </c:dLbl>
            <c:dLbl>
              <c:idx val="69"/>
              <c:spPr>
                <a:solidFill>
                  <a:schemeClr val="lt1">
                    <a:alpha val="90000"/>
                  </a:schemeClr>
                </a:solidFill>
                <a:ln w="12700" cap="flat" cmpd="sng" algn="ctr">
                  <a:solidFill>
                    <a:schemeClr val="accent4">
                      <a:lumMod val="80000"/>
                      <a:lumOff val="20000"/>
                    </a:schemeClr>
                  </a:solidFill>
                  <a:round/>
                </a:ln>
                <a:effectLst>
                  <a:outerShdw blurRad="50800" dist="38100" dir="2700000" algn="tl" rotWithShape="0">
                    <a:schemeClr val="accent4">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6-0D85-044B-858F-3BF2B2A838EC}"/>
                </c:ext>
              </c:extLst>
            </c:dLbl>
            <c:dLbl>
              <c:idx val="70"/>
              <c:spPr>
                <a:solidFill>
                  <a:schemeClr val="lt1">
                    <a:alpha val="90000"/>
                  </a:schemeClr>
                </a:solidFill>
                <a:ln w="12700" cap="flat" cmpd="sng" algn="ctr">
                  <a:solidFill>
                    <a:schemeClr val="accent5">
                      <a:lumMod val="80000"/>
                      <a:lumOff val="20000"/>
                    </a:schemeClr>
                  </a:solidFill>
                  <a:round/>
                </a:ln>
                <a:effectLst>
                  <a:outerShdw blurRad="50800" dist="38100" dir="2700000" algn="tl" rotWithShape="0">
                    <a:schemeClr val="accent5">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7-0D85-044B-858F-3BF2B2A838EC}"/>
                </c:ext>
              </c:extLst>
            </c:dLbl>
            <c:dLbl>
              <c:idx val="71"/>
              <c:spPr>
                <a:solidFill>
                  <a:schemeClr val="lt1">
                    <a:alpha val="90000"/>
                  </a:schemeClr>
                </a:solidFill>
                <a:ln w="12700" cap="flat" cmpd="sng" algn="ctr">
                  <a:solidFill>
                    <a:schemeClr val="accent6">
                      <a:lumMod val="80000"/>
                      <a:lumOff val="20000"/>
                    </a:schemeClr>
                  </a:solidFill>
                  <a:round/>
                </a:ln>
                <a:effectLst>
                  <a:outerShdw blurRad="50800" dist="38100" dir="2700000" algn="tl" rotWithShape="0">
                    <a:schemeClr val="accent6">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8-0D85-044B-858F-3BF2B2A838EC}"/>
                </c:ext>
              </c:extLst>
            </c:dLbl>
            <c:dLbl>
              <c:idx val="72"/>
              <c:spPr>
                <a:solidFill>
                  <a:schemeClr val="lt1">
                    <a:alpha val="90000"/>
                  </a:schemeClr>
                </a:solidFill>
                <a:ln w="12700" cap="flat" cmpd="sng" algn="ctr">
                  <a:solidFill>
                    <a:schemeClr val="accent1">
                      <a:lumMod val="80000"/>
                    </a:schemeClr>
                  </a:solidFill>
                  <a:round/>
                </a:ln>
                <a:effectLst>
                  <a:outerShdw blurRad="50800" dist="38100" dir="2700000" algn="tl" rotWithShape="0">
                    <a:schemeClr val="accent1">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9-0D85-044B-858F-3BF2B2A838EC}"/>
                </c:ext>
              </c:extLst>
            </c:dLbl>
            <c:dLbl>
              <c:idx val="73"/>
              <c:spPr>
                <a:solidFill>
                  <a:schemeClr val="lt1">
                    <a:alpha val="90000"/>
                  </a:schemeClr>
                </a:solidFill>
                <a:ln w="12700" cap="flat" cmpd="sng" algn="ctr">
                  <a:solidFill>
                    <a:schemeClr val="accent2">
                      <a:lumMod val="80000"/>
                    </a:schemeClr>
                  </a:solidFill>
                  <a:round/>
                </a:ln>
                <a:effectLst>
                  <a:outerShdw blurRad="50800" dist="38100" dir="2700000" algn="tl" rotWithShape="0">
                    <a:schemeClr val="accent2">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A-0D85-044B-858F-3BF2B2A838EC}"/>
                </c:ext>
              </c:extLst>
            </c:dLbl>
            <c:dLbl>
              <c:idx val="74"/>
              <c:spPr>
                <a:solidFill>
                  <a:schemeClr val="lt1">
                    <a:alpha val="90000"/>
                  </a:schemeClr>
                </a:solidFill>
                <a:ln w="12700" cap="flat" cmpd="sng" algn="ctr">
                  <a:solidFill>
                    <a:schemeClr val="accent3">
                      <a:lumMod val="80000"/>
                    </a:schemeClr>
                  </a:solidFill>
                  <a:round/>
                </a:ln>
                <a:effectLst>
                  <a:outerShdw blurRad="50800" dist="38100" dir="2700000" algn="tl" rotWithShape="0">
                    <a:schemeClr val="accent3">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B-0D85-044B-858F-3BF2B2A838EC}"/>
                </c:ext>
              </c:extLst>
            </c:dLbl>
            <c:dLbl>
              <c:idx val="75"/>
              <c:spPr>
                <a:solidFill>
                  <a:schemeClr val="lt1">
                    <a:alpha val="90000"/>
                  </a:schemeClr>
                </a:solidFill>
                <a:ln w="12700" cap="flat" cmpd="sng" algn="ctr">
                  <a:solidFill>
                    <a:schemeClr val="accent4">
                      <a:lumMod val="80000"/>
                    </a:schemeClr>
                  </a:solidFill>
                  <a:round/>
                </a:ln>
                <a:effectLst>
                  <a:outerShdw blurRad="50800" dist="38100" dir="2700000" algn="tl" rotWithShape="0">
                    <a:schemeClr val="accent4">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C-0D85-044B-858F-3BF2B2A838EC}"/>
                </c:ext>
              </c:extLst>
            </c:dLbl>
            <c:dLbl>
              <c:idx val="76"/>
              <c:spPr>
                <a:solidFill>
                  <a:schemeClr val="lt1">
                    <a:alpha val="90000"/>
                  </a:schemeClr>
                </a:solidFill>
                <a:ln w="12700" cap="flat" cmpd="sng" algn="ctr">
                  <a:solidFill>
                    <a:schemeClr val="accent5">
                      <a:lumMod val="80000"/>
                    </a:schemeClr>
                  </a:solidFill>
                  <a:round/>
                </a:ln>
                <a:effectLst>
                  <a:outerShdw blurRad="50800" dist="38100" dir="2700000" algn="tl" rotWithShape="0">
                    <a:schemeClr val="accent5">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D-0D85-044B-858F-3BF2B2A838EC}"/>
                </c:ext>
              </c:extLst>
            </c:dLbl>
            <c:dLbl>
              <c:idx val="77"/>
              <c:spPr>
                <a:solidFill>
                  <a:schemeClr val="lt1">
                    <a:alpha val="90000"/>
                  </a:schemeClr>
                </a:solidFill>
                <a:ln w="12700" cap="flat" cmpd="sng" algn="ctr">
                  <a:solidFill>
                    <a:schemeClr val="accent6">
                      <a:lumMod val="80000"/>
                    </a:schemeClr>
                  </a:solidFill>
                  <a:round/>
                </a:ln>
                <a:effectLst>
                  <a:outerShdw blurRad="50800" dist="38100" dir="2700000" algn="tl" rotWithShape="0">
                    <a:schemeClr val="accent6">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E-0D85-044B-858F-3BF2B2A838EC}"/>
                </c:ext>
              </c:extLst>
            </c:dLbl>
            <c:dLbl>
              <c:idx val="78"/>
              <c:spPr>
                <a:solidFill>
                  <a:schemeClr val="lt1">
                    <a:alpha val="90000"/>
                  </a:schemeClr>
                </a:solidFill>
                <a:ln w="12700" cap="flat" cmpd="sng" algn="ctr">
                  <a:solidFill>
                    <a:schemeClr val="accent1">
                      <a:lumMod val="60000"/>
                      <a:lumOff val="40000"/>
                    </a:schemeClr>
                  </a:solidFill>
                  <a:round/>
                </a:ln>
                <a:effectLst>
                  <a:outerShdw blurRad="50800" dist="38100" dir="2700000" algn="tl" rotWithShape="0">
                    <a:schemeClr val="accent1">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F-0D85-044B-858F-3BF2B2A838EC}"/>
                </c:ext>
              </c:extLst>
            </c:dLbl>
            <c:dLbl>
              <c:idx val="79"/>
              <c:spPr>
                <a:solidFill>
                  <a:schemeClr val="lt1">
                    <a:alpha val="90000"/>
                  </a:schemeClr>
                </a:solidFill>
                <a:ln w="12700" cap="flat" cmpd="sng" algn="ctr">
                  <a:solidFill>
                    <a:schemeClr val="accent2">
                      <a:lumMod val="60000"/>
                      <a:lumOff val="40000"/>
                    </a:schemeClr>
                  </a:solidFill>
                  <a:round/>
                </a:ln>
                <a:effectLst>
                  <a:outerShdw blurRad="50800" dist="38100" dir="2700000" algn="tl" rotWithShape="0">
                    <a:schemeClr val="accent2">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0-0D85-044B-858F-3BF2B2A838EC}"/>
                </c:ext>
              </c:extLst>
            </c:dLbl>
            <c:dLbl>
              <c:idx val="80"/>
              <c:spPr>
                <a:solidFill>
                  <a:schemeClr val="lt1">
                    <a:alpha val="90000"/>
                  </a:schemeClr>
                </a:solidFill>
                <a:ln w="12700" cap="flat" cmpd="sng" algn="ctr">
                  <a:solidFill>
                    <a:schemeClr val="accent3">
                      <a:lumMod val="60000"/>
                      <a:lumOff val="40000"/>
                    </a:schemeClr>
                  </a:solidFill>
                  <a:round/>
                </a:ln>
                <a:effectLst>
                  <a:outerShdw blurRad="50800" dist="38100" dir="2700000" algn="tl" rotWithShape="0">
                    <a:schemeClr val="accent3">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1-0D85-044B-858F-3BF2B2A838EC}"/>
                </c:ext>
              </c:extLst>
            </c:dLbl>
            <c:dLbl>
              <c:idx val="81"/>
              <c:spPr>
                <a:solidFill>
                  <a:schemeClr val="lt1">
                    <a:alpha val="90000"/>
                  </a:schemeClr>
                </a:solidFill>
                <a:ln w="12700" cap="flat" cmpd="sng" algn="ctr">
                  <a:solidFill>
                    <a:schemeClr val="accent4">
                      <a:lumMod val="60000"/>
                      <a:lumOff val="40000"/>
                    </a:schemeClr>
                  </a:solidFill>
                  <a:round/>
                </a:ln>
                <a:effectLst>
                  <a:outerShdw blurRad="50800" dist="38100" dir="2700000" algn="tl" rotWithShape="0">
                    <a:schemeClr val="accent4">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2-0D85-044B-858F-3BF2B2A838EC}"/>
                </c:ext>
              </c:extLst>
            </c:dLbl>
            <c:dLbl>
              <c:idx val="82"/>
              <c:spPr>
                <a:solidFill>
                  <a:schemeClr val="lt1">
                    <a:alpha val="90000"/>
                  </a:schemeClr>
                </a:solidFill>
                <a:ln w="12700" cap="flat" cmpd="sng" algn="ctr">
                  <a:solidFill>
                    <a:schemeClr val="accent5">
                      <a:lumMod val="60000"/>
                      <a:lumOff val="40000"/>
                    </a:schemeClr>
                  </a:solidFill>
                  <a:round/>
                </a:ln>
                <a:effectLst>
                  <a:outerShdw blurRad="50800" dist="38100" dir="2700000" algn="tl" rotWithShape="0">
                    <a:schemeClr val="accent5">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3-0D85-044B-858F-3BF2B2A838EC}"/>
                </c:ext>
              </c:extLst>
            </c:dLbl>
            <c:dLbl>
              <c:idx val="83"/>
              <c:spPr>
                <a:solidFill>
                  <a:schemeClr val="lt1">
                    <a:alpha val="90000"/>
                  </a:schemeClr>
                </a:solidFill>
                <a:ln w="12700" cap="flat" cmpd="sng" algn="ctr">
                  <a:solidFill>
                    <a:schemeClr val="accent6">
                      <a:lumMod val="60000"/>
                      <a:lumOff val="40000"/>
                    </a:schemeClr>
                  </a:solidFill>
                  <a:round/>
                </a:ln>
                <a:effectLst>
                  <a:outerShdw blurRad="50800" dist="38100" dir="2700000" algn="tl" rotWithShape="0">
                    <a:schemeClr val="accent6">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4-0D85-044B-858F-3BF2B2A838EC}"/>
                </c:ext>
              </c:extLst>
            </c:dLbl>
            <c:dLbl>
              <c:idx val="84"/>
              <c:spPr>
                <a:solidFill>
                  <a:schemeClr val="lt1">
                    <a:alpha val="90000"/>
                  </a:schemeClr>
                </a:solidFill>
                <a:ln w="12700" cap="flat" cmpd="sng" algn="ctr">
                  <a:solidFill>
                    <a:schemeClr val="accent1">
                      <a:lumMod val="50000"/>
                    </a:schemeClr>
                  </a:solidFill>
                  <a:round/>
                </a:ln>
                <a:effectLst>
                  <a:outerShdw blurRad="50800" dist="38100" dir="2700000" algn="tl" rotWithShape="0">
                    <a:schemeClr val="accent1">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5-0D85-044B-858F-3BF2B2A838EC}"/>
                </c:ext>
              </c:extLst>
            </c:dLbl>
            <c:dLbl>
              <c:idx val="85"/>
              <c:spPr>
                <a:solidFill>
                  <a:schemeClr val="lt1">
                    <a:alpha val="90000"/>
                  </a:schemeClr>
                </a:solidFill>
                <a:ln w="12700" cap="flat" cmpd="sng" algn="ctr">
                  <a:solidFill>
                    <a:schemeClr val="accent2">
                      <a:lumMod val="50000"/>
                    </a:schemeClr>
                  </a:solidFill>
                  <a:round/>
                </a:ln>
                <a:effectLst>
                  <a:outerShdw blurRad="50800" dist="38100" dir="2700000" algn="tl" rotWithShape="0">
                    <a:schemeClr val="accent2">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6-0D85-044B-858F-3BF2B2A838EC}"/>
                </c:ext>
              </c:extLst>
            </c:dLbl>
            <c:dLbl>
              <c:idx val="86"/>
              <c:spPr>
                <a:solidFill>
                  <a:schemeClr val="lt1">
                    <a:alpha val="90000"/>
                  </a:schemeClr>
                </a:solidFill>
                <a:ln w="12700" cap="flat" cmpd="sng" algn="ctr">
                  <a:solidFill>
                    <a:schemeClr val="accent3">
                      <a:lumMod val="50000"/>
                    </a:schemeClr>
                  </a:solidFill>
                  <a:round/>
                </a:ln>
                <a:effectLst>
                  <a:outerShdw blurRad="50800" dist="38100" dir="2700000" algn="tl" rotWithShape="0">
                    <a:schemeClr val="accent3">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7-0D85-044B-858F-3BF2B2A838EC}"/>
                </c:ext>
              </c:extLst>
            </c:dLbl>
            <c:dLbl>
              <c:idx val="87"/>
              <c:spPr>
                <a:solidFill>
                  <a:schemeClr val="lt1">
                    <a:alpha val="90000"/>
                  </a:schemeClr>
                </a:solidFill>
                <a:ln w="12700" cap="flat" cmpd="sng" algn="ctr">
                  <a:solidFill>
                    <a:schemeClr val="accent4">
                      <a:lumMod val="50000"/>
                    </a:schemeClr>
                  </a:solidFill>
                  <a:round/>
                </a:ln>
                <a:effectLst>
                  <a:outerShdw blurRad="50800" dist="38100" dir="2700000" algn="tl" rotWithShape="0">
                    <a:schemeClr val="accent4">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8-0D85-044B-858F-3BF2B2A838EC}"/>
                </c:ext>
              </c:extLst>
            </c:dLbl>
            <c:dLbl>
              <c:idx val="88"/>
              <c:spPr>
                <a:solidFill>
                  <a:schemeClr val="lt1">
                    <a:alpha val="90000"/>
                  </a:schemeClr>
                </a:solidFill>
                <a:ln w="12700" cap="flat" cmpd="sng" algn="ctr">
                  <a:solidFill>
                    <a:schemeClr val="accent5">
                      <a:lumMod val="50000"/>
                    </a:schemeClr>
                  </a:solidFill>
                  <a:round/>
                </a:ln>
                <a:effectLst>
                  <a:outerShdw blurRad="50800" dist="38100" dir="2700000" algn="tl" rotWithShape="0">
                    <a:schemeClr val="accent5">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9-0D85-044B-858F-3BF2B2A838EC}"/>
                </c:ext>
              </c:extLst>
            </c:dLbl>
            <c:dLbl>
              <c:idx val="89"/>
              <c:spPr>
                <a:solidFill>
                  <a:schemeClr val="lt1">
                    <a:alpha val="90000"/>
                  </a:schemeClr>
                </a:solidFill>
                <a:ln w="12700" cap="flat" cmpd="sng" algn="ctr">
                  <a:solidFill>
                    <a:schemeClr val="accent6">
                      <a:lumMod val="50000"/>
                    </a:schemeClr>
                  </a:solidFill>
                  <a:round/>
                </a:ln>
                <a:effectLst>
                  <a:outerShdw blurRad="50800" dist="38100" dir="2700000" algn="tl" rotWithShape="0">
                    <a:schemeClr val="accent6">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A-0D85-044B-858F-3BF2B2A838EC}"/>
                </c:ext>
              </c:extLst>
            </c:dLbl>
            <c:dLbl>
              <c:idx val="90"/>
              <c:spPr>
                <a:solidFill>
                  <a:schemeClr val="lt1">
                    <a:alpha val="90000"/>
                  </a:schemeClr>
                </a:solidFill>
                <a:ln w="12700" cap="flat" cmpd="sng" algn="ctr">
                  <a:solidFill>
                    <a:schemeClr val="accent1">
                      <a:lumMod val="70000"/>
                      <a:lumOff val="30000"/>
                    </a:schemeClr>
                  </a:solidFill>
                  <a:round/>
                </a:ln>
                <a:effectLst>
                  <a:outerShdw blurRad="50800" dist="38100" dir="2700000" algn="tl" rotWithShape="0">
                    <a:schemeClr val="accent1">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B-0D85-044B-858F-3BF2B2A838EC}"/>
                </c:ext>
              </c:extLst>
            </c:dLbl>
            <c:dLbl>
              <c:idx val="91"/>
              <c:spPr>
                <a:solidFill>
                  <a:schemeClr val="lt1">
                    <a:alpha val="90000"/>
                  </a:schemeClr>
                </a:solidFill>
                <a:ln w="12700" cap="flat" cmpd="sng" algn="ctr">
                  <a:solidFill>
                    <a:schemeClr val="accent2">
                      <a:lumMod val="70000"/>
                      <a:lumOff val="30000"/>
                    </a:schemeClr>
                  </a:solidFill>
                  <a:round/>
                </a:ln>
                <a:effectLst>
                  <a:outerShdw blurRad="50800" dist="38100" dir="2700000" algn="tl" rotWithShape="0">
                    <a:schemeClr val="accent2">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C-0D85-044B-858F-3BF2B2A838EC}"/>
                </c:ext>
              </c:extLst>
            </c:dLbl>
            <c:dLbl>
              <c:idx val="92"/>
              <c:spPr>
                <a:solidFill>
                  <a:schemeClr val="lt1">
                    <a:alpha val="90000"/>
                  </a:schemeClr>
                </a:solidFill>
                <a:ln w="12700" cap="flat" cmpd="sng" algn="ctr">
                  <a:solidFill>
                    <a:schemeClr val="accent3">
                      <a:lumMod val="70000"/>
                      <a:lumOff val="30000"/>
                    </a:schemeClr>
                  </a:solidFill>
                  <a:round/>
                </a:ln>
                <a:effectLst>
                  <a:outerShdw blurRad="50800" dist="38100" dir="2700000" algn="tl" rotWithShape="0">
                    <a:schemeClr val="accent3">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D-0D85-044B-858F-3BF2B2A838EC}"/>
                </c:ext>
              </c:extLst>
            </c:dLbl>
            <c:dLbl>
              <c:idx val="93"/>
              <c:spPr>
                <a:solidFill>
                  <a:schemeClr val="lt1">
                    <a:alpha val="90000"/>
                  </a:schemeClr>
                </a:solidFill>
                <a:ln w="12700" cap="flat" cmpd="sng" algn="ctr">
                  <a:solidFill>
                    <a:schemeClr val="accent4">
                      <a:lumMod val="70000"/>
                      <a:lumOff val="30000"/>
                    </a:schemeClr>
                  </a:solidFill>
                  <a:round/>
                </a:ln>
                <a:effectLst>
                  <a:outerShdw blurRad="50800" dist="38100" dir="2700000" algn="tl" rotWithShape="0">
                    <a:schemeClr val="accent4">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E-0D85-044B-858F-3BF2B2A838EC}"/>
                </c:ext>
              </c:extLst>
            </c:dLbl>
            <c:dLbl>
              <c:idx val="94"/>
              <c:spPr>
                <a:solidFill>
                  <a:schemeClr val="lt1">
                    <a:alpha val="90000"/>
                  </a:schemeClr>
                </a:solidFill>
                <a:ln w="12700" cap="flat" cmpd="sng" algn="ctr">
                  <a:solidFill>
                    <a:schemeClr val="accent5">
                      <a:lumMod val="70000"/>
                      <a:lumOff val="30000"/>
                    </a:schemeClr>
                  </a:solidFill>
                  <a:round/>
                </a:ln>
                <a:effectLst>
                  <a:outerShdw blurRad="50800" dist="38100" dir="2700000" algn="tl" rotWithShape="0">
                    <a:schemeClr val="accent5">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F-0D85-044B-858F-3BF2B2A838EC}"/>
                </c:ext>
              </c:extLst>
            </c:dLbl>
            <c:dLbl>
              <c:idx val="95"/>
              <c:spPr>
                <a:solidFill>
                  <a:schemeClr val="lt1">
                    <a:alpha val="90000"/>
                  </a:schemeClr>
                </a:solidFill>
                <a:ln w="12700" cap="flat" cmpd="sng" algn="ctr">
                  <a:solidFill>
                    <a:schemeClr val="accent6">
                      <a:lumMod val="70000"/>
                      <a:lumOff val="30000"/>
                    </a:schemeClr>
                  </a:solidFill>
                  <a:round/>
                </a:ln>
                <a:effectLst>
                  <a:outerShdw blurRad="50800" dist="38100" dir="2700000" algn="tl" rotWithShape="0">
                    <a:schemeClr val="accent6">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60-0D85-044B-858F-3BF2B2A838EC}"/>
                </c:ext>
              </c:extLst>
            </c:dLbl>
            <c:dLbl>
              <c:idx val="96"/>
              <c:spPr>
                <a:solidFill>
                  <a:schemeClr val="lt1">
                    <a:alpha val="90000"/>
                  </a:schemeClr>
                </a:solidFill>
                <a:ln w="12700" cap="flat" cmpd="sng" algn="ctr">
                  <a:solidFill>
                    <a:schemeClr val="accent1">
                      <a:lumMod val="70000"/>
                    </a:schemeClr>
                  </a:solidFill>
                  <a:round/>
                </a:ln>
                <a:effectLst>
                  <a:outerShdw blurRad="50800" dist="38100" dir="2700000" algn="tl" rotWithShape="0">
                    <a:schemeClr val="accent1">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61-0D85-044B-858F-3BF2B2A838EC}"/>
                </c:ext>
              </c:extLst>
            </c:dLbl>
            <c:dLbl>
              <c:idx val="97"/>
              <c:spPr>
                <a:solidFill>
                  <a:schemeClr val="lt1">
                    <a:alpha val="90000"/>
                  </a:schemeClr>
                </a:solidFill>
                <a:ln w="12700" cap="flat" cmpd="sng" algn="ctr">
                  <a:solidFill>
                    <a:schemeClr val="accent2">
                      <a:lumMod val="70000"/>
                    </a:schemeClr>
                  </a:solidFill>
                  <a:round/>
                </a:ln>
                <a:effectLst>
                  <a:outerShdw blurRad="50800" dist="38100" dir="2700000" algn="tl" rotWithShape="0">
                    <a:schemeClr val="accent2">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62-0D85-044B-858F-3BF2B2A838EC}"/>
                </c:ext>
              </c:extLst>
            </c:dLbl>
            <c:dLbl>
              <c:idx val="98"/>
              <c:spPr>
                <a:solidFill>
                  <a:schemeClr val="lt1">
                    <a:alpha val="90000"/>
                  </a:schemeClr>
                </a:solidFill>
                <a:ln w="12700" cap="flat" cmpd="sng" algn="ctr">
                  <a:solidFill>
                    <a:schemeClr val="accent3">
                      <a:lumMod val="70000"/>
                    </a:schemeClr>
                  </a:solidFill>
                  <a:round/>
                </a:ln>
                <a:effectLst>
                  <a:outerShdw blurRad="50800" dist="38100" dir="2700000" algn="tl" rotWithShape="0">
                    <a:schemeClr val="accent3">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63-0D85-044B-858F-3BF2B2A838EC}"/>
                </c:ext>
              </c:extLst>
            </c:dLbl>
            <c:dLbl>
              <c:idx val="99"/>
              <c:spPr>
                <a:solidFill>
                  <a:schemeClr val="lt1">
                    <a:alpha val="90000"/>
                  </a:schemeClr>
                </a:solidFill>
                <a:ln w="12700" cap="flat" cmpd="sng" algn="ctr">
                  <a:solidFill>
                    <a:schemeClr val="accent4">
                      <a:lumMod val="70000"/>
                    </a:schemeClr>
                  </a:solidFill>
                  <a:round/>
                </a:ln>
                <a:effectLst>
                  <a:outerShdw blurRad="50800" dist="38100" dir="2700000" algn="tl" rotWithShape="0">
                    <a:schemeClr val="accent4">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64-0D85-044B-858F-3BF2B2A838EC}"/>
                </c:ext>
              </c:extLst>
            </c:dLbl>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'Mental disorders'!$M$3:$M$102</c:f>
              <c:strCache>
                <c:ptCount val="5"/>
                <c:pt idx="0">
                  <c:v>Condition</c:v>
                </c:pt>
                <c:pt idx="1">
                  <c:v>Depression</c:v>
                </c:pt>
                <c:pt idx="2">
                  <c:v>Anxiety   </c:v>
                </c:pt>
                <c:pt idx="3">
                  <c:v>Panic attacks </c:v>
                </c:pt>
                <c:pt idx="4">
                  <c:v>Seek a treatment?</c:v>
                </c:pt>
              </c:strCache>
            </c:strRef>
          </c:cat>
          <c:val>
            <c:numRef>
              <c:f>'Mental disorders'!$O$3:$O$102</c:f>
              <c:numCache>
                <c:formatCode>General</c:formatCode>
                <c:ptCount val="100"/>
                <c:pt idx="0">
                  <c:v>0</c:v>
                </c:pt>
                <c:pt idx="1">
                  <c:v>35</c:v>
                </c:pt>
                <c:pt idx="2">
                  <c:v>34</c:v>
                </c:pt>
                <c:pt idx="3">
                  <c:v>33</c:v>
                </c:pt>
                <c:pt idx="4">
                  <c:v>6</c:v>
                </c:pt>
              </c:numCache>
            </c:numRef>
          </c:val>
          <c:extLst>
            <c:ext xmlns:c16="http://schemas.microsoft.com/office/drawing/2014/chart" uri="{C3380CC4-5D6E-409C-BE32-E72D297353CC}">
              <c16:uniqueId val="{00000000-0D85-044B-858F-3BF2B2A838EC}"/>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Prevalence of mental disorders</a:t>
            </a:r>
          </a:p>
        </c:rich>
      </c:tx>
      <c:layout>
        <c:manualLayout>
          <c:xMode val="edge"/>
          <c:yMode val="edge"/>
          <c:x val="0.10080270599977818"/>
          <c:y val="1.2307692307692308E-2"/>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A"/>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666666666666664E-2"/>
          <c:y val="0.2452548118985127"/>
          <c:w val="0.93888888888888888"/>
          <c:h val="0.75474518810148727"/>
        </c:manualLayout>
      </c:layout>
      <c:pie3DChart>
        <c:varyColors val="1"/>
        <c:ser>
          <c:idx val="0"/>
          <c:order val="0"/>
          <c:tx>
            <c:strRef>
              <c:f>'Mental disorders'!$O$1:$O$2</c:f>
              <c:strCache>
                <c:ptCount val="2"/>
                <c:pt idx="0">
                  <c:v>Prevalence of mental disorders</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3866-0D4D-BB6B-71AF7F2926C7}"/>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3866-0D4D-BB6B-71AF7F2926C7}"/>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3866-0D4D-BB6B-71AF7F2926C7}"/>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3866-0D4D-BB6B-71AF7F2926C7}"/>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3866-0D4D-BB6B-71AF7F2926C7}"/>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3866-0D4D-BB6B-71AF7F2926C7}"/>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D-3866-0D4D-BB6B-71AF7F2926C7}"/>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F-3866-0D4D-BB6B-71AF7F2926C7}"/>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11-3866-0D4D-BB6B-71AF7F2926C7}"/>
              </c:ext>
            </c:extLst>
          </c:dPt>
          <c:dPt>
            <c:idx val="9"/>
            <c:bubble3D val="0"/>
            <c:spPr>
              <a:solidFill>
                <a:schemeClr val="accent4">
                  <a:lumMod val="6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13-3866-0D4D-BB6B-71AF7F2926C7}"/>
              </c:ext>
            </c:extLst>
          </c:dPt>
          <c:dPt>
            <c:idx val="10"/>
            <c:bubble3D val="0"/>
            <c:spPr>
              <a:solidFill>
                <a:schemeClr val="accent5">
                  <a:lumMod val="60000"/>
                  <a:alpha val="90000"/>
                </a:schemeClr>
              </a:solidFill>
              <a:ln w="19050">
                <a:solidFill>
                  <a:schemeClr val="accent5">
                    <a:lumMod val="60000"/>
                    <a:lumMod val="75000"/>
                  </a:schemeClr>
                </a:solidFill>
              </a:ln>
              <a:effectLst>
                <a:innerShdw blurRad="114300">
                  <a:schemeClr val="accent5">
                    <a:lumMod val="60000"/>
                    <a:lumMod val="75000"/>
                  </a:schemeClr>
                </a:innerShdw>
              </a:effectLst>
              <a:scene3d>
                <a:camera prst="orthographicFront"/>
                <a:lightRig rig="threePt" dir="t"/>
              </a:scene3d>
              <a:sp3d contourW="19050" prstMaterial="flat">
                <a:contourClr>
                  <a:schemeClr val="accent5">
                    <a:lumMod val="60000"/>
                    <a:lumMod val="75000"/>
                  </a:schemeClr>
                </a:contourClr>
              </a:sp3d>
            </c:spPr>
            <c:extLst>
              <c:ext xmlns:c16="http://schemas.microsoft.com/office/drawing/2014/chart" uri="{C3380CC4-5D6E-409C-BE32-E72D297353CC}">
                <c16:uniqueId val="{00000015-3866-0D4D-BB6B-71AF7F2926C7}"/>
              </c:ext>
            </c:extLst>
          </c:dPt>
          <c:dPt>
            <c:idx val="11"/>
            <c:bubble3D val="0"/>
            <c:spPr>
              <a:solidFill>
                <a:schemeClr val="accent6">
                  <a:lumMod val="60000"/>
                  <a:alpha val="90000"/>
                </a:schemeClr>
              </a:solidFill>
              <a:ln w="19050">
                <a:solidFill>
                  <a:schemeClr val="accent6">
                    <a:lumMod val="60000"/>
                    <a:lumMod val="75000"/>
                  </a:schemeClr>
                </a:solidFill>
              </a:ln>
              <a:effectLst>
                <a:innerShdw blurRad="114300">
                  <a:schemeClr val="accent6">
                    <a:lumMod val="60000"/>
                    <a:lumMod val="75000"/>
                  </a:schemeClr>
                </a:innerShdw>
              </a:effectLst>
              <a:scene3d>
                <a:camera prst="orthographicFront"/>
                <a:lightRig rig="threePt" dir="t"/>
              </a:scene3d>
              <a:sp3d contourW="19050" prstMaterial="flat">
                <a:contourClr>
                  <a:schemeClr val="accent6">
                    <a:lumMod val="60000"/>
                    <a:lumMod val="75000"/>
                  </a:schemeClr>
                </a:contourClr>
              </a:sp3d>
            </c:spPr>
            <c:extLst>
              <c:ext xmlns:c16="http://schemas.microsoft.com/office/drawing/2014/chart" uri="{C3380CC4-5D6E-409C-BE32-E72D297353CC}">
                <c16:uniqueId val="{00000017-3866-0D4D-BB6B-71AF7F2926C7}"/>
              </c:ext>
            </c:extLst>
          </c:dPt>
          <c:dPt>
            <c:idx val="12"/>
            <c:bubble3D val="0"/>
            <c:spPr>
              <a:solidFill>
                <a:schemeClr val="accent1">
                  <a:lumMod val="80000"/>
                  <a:lumOff val="20000"/>
                  <a:alpha val="90000"/>
                </a:schemeClr>
              </a:solidFill>
              <a:ln w="19050">
                <a:solidFill>
                  <a:schemeClr val="accent1">
                    <a:lumMod val="80000"/>
                    <a:lumOff val="20000"/>
                    <a:lumMod val="75000"/>
                  </a:schemeClr>
                </a:solidFill>
              </a:ln>
              <a:effectLst>
                <a:innerShdw blurRad="114300">
                  <a:schemeClr val="accent1">
                    <a:lumMod val="80000"/>
                    <a:lumOff val="20000"/>
                    <a:lumMod val="75000"/>
                  </a:schemeClr>
                </a:innerShdw>
              </a:effectLst>
              <a:scene3d>
                <a:camera prst="orthographicFront"/>
                <a:lightRig rig="threePt" dir="t"/>
              </a:scene3d>
              <a:sp3d contourW="19050" prstMaterial="flat">
                <a:contourClr>
                  <a:schemeClr val="accent1">
                    <a:lumMod val="80000"/>
                    <a:lumOff val="20000"/>
                    <a:lumMod val="75000"/>
                  </a:schemeClr>
                </a:contourClr>
              </a:sp3d>
            </c:spPr>
            <c:extLst>
              <c:ext xmlns:c16="http://schemas.microsoft.com/office/drawing/2014/chart" uri="{C3380CC4-5D6E-409C-BE32-E72D297353CC}">
                <c16:uniqueId val="{00000019-3866-0D4D-BB6B-71AF7F2926C7}"/>
              </c:ext>
            </c:extLst>
          </c:dPt>
          <c:dPt>
            <c:idx val="13"/>
            <c:bubble3D val="0"/>
            <c:spPr>
              <a:solidFill>
                <a:schemeClr val="accent2">
                  <a:lumMod val="80000"/>
                  <a:lumOff val="20000"/>
                  <a:alpha val="90000"/>
                </a:schemeClr>
              </a:solidFill>
              <a:ln w="19050">
                <a:solidFill>
                  <a:schemeClr val="accent2">
                    <a:lumMod val="80000"/>
                    <a:lumOff val="20000"/>
                    <a:lumMod val="75000"/>
                  </a:schemeClr>
                </a:solidFill>
              </a:ln>
              <a:effectLst>
                <a:innerShdw blurRad="114300">
                  <a:schemeClr val="accent2">
                    <a:lumMod val="80000"/>
                    <a:lumOff val="20000"/>
                    <a:lumMod val="75000"/>
                  </a:schemeClr>
                </a:innerShdw>
              </a:effectLst>
              <a:scene3d>
                <a:camera prst="orthographicFront"/>
                <a:lightRig rig="threePt" dir="t"/>
              </a:scene3d>
              <a:sp3d contourW="19050" prstMaterial="flat">
                <a:contourClr>
                  <a:schemeClr val="accent2">
                    <a:lumMod val="80000"/>
                    <a:lumOff val="20000"/>
                    <a:lumMod val="75000"/>
                  </a:schemeClr>
                </a:contourClr>
              </a:sp3d>
            </c:spPr>
            <c:extLst>
              <c:ext xmlns:c16="http://schemas.microsoft.com/office/drawing/2014/chart" uri="{C3380CC4-5D6E-409C-BE32-E72D297353CC}">
                <c16:uniqueId val="{0000001B-3866-0D4D-BB6B-71AF7F2926C7}"/>
              </c:ext>
            </c:extLst>
          </c:dPt>
          <c:dPt>
            <c:idx val="14"/>
            <c:bubble3D val="0"/>
            <c:spPr>
              <a:solidFill>
                <a:schemeClr val="accent3">
                  <a:lumMod val="80000"/>
                  <a:lumOff val="20000"/>
                  <a:alpha val="90000"/>
                </a:schemeClr>
              </a:solidFill>
              <a:ln w="19050">
                <a:solidFill>
                  <a:schemeClr val="accent3">
                    <a:lumMod val="80000"/>
                    <a:lumOff val="20000"/>
                    <a:lumMod val="75000"/>
                  </a:schemeClr>
                </a:solidFill>
              </a:ln>
              <a:effectLst>
                <a:innerShdw blurRad="114300">
                  <a:schemeClr val="accent3">
                    <a:lumMod val="80000"/>
                    <a:lumOff val="20000"/>
                    <a:lumMod val="75000"/>
                  </a:schemeClr>
                </a:innerShdw>
              </a:effectLst>
              <a:scene3d>
                <a:camera prst="orthographicFront"/>
                <a:lightRig rig="threePt" dir="t"/>
              </a:scene3d>
              <a:sp3d contourW="19050" prstMaterial="flat">
                <a:contourClr>
                  <a:schemeClr val="accent3">
                    <a:lumMod val="80000"/>
                    <a:lumOff val="20000"/>
                    <a:lumMod val="75000"/>
                  </a:schemeClr>
                </a:contourClr>
              </a:sp3d>
            </c:spPr>
            <c:extLst>
              <c:ext xmlns:c16="http://schemas.microsoft.com/office/drawing/2014/chart" uri="{C3380CC4-5D6E-409C-BE32-E72D297353CC}">
                <c16:uniqueId val="{0000001D-3866-0D4D-BB6B-71AF7F2926C7}"/>
              </c:ext>
            </c:extLst>
          </c:dPt>
          <c:dPt>
            <c:idx val="15"/>
            <c:bubble3D val="0"/>
            <c:spPr>
              <a:solidFill>
                <a:schemeClr val="accent4">
                  <a:lumMod val="80000"/>
                  <a:lumOff val="20000"/>
                  <a:alpha val="90000"/>
                </a:schemeClr>
              </a:solidFill>
              <a:ln w="19050">
                <a:solidFill>
                  <a:schemeClr val="accent4">
                    <a:lumMod val="80000"/>
                    <a:lumOff val="20000"/>
                    <a:lumMod val="75000"/>
                  </a:schemeClr>
                </a:solidFill>
              </a:ln>
              <a:effectLst>
                <a:innerShdw blurRad="114300">
                  <a:schemeClr val="accent4">
                    <a:lumMod val="80000"/>
                    <a:lumOff val="20000"/>
                    <a:lumMod val="75000"/>
                  </a:schemeClr>
                </a:innerShdw>
              </a:effectLst>
              <a:scene3d>
                <a:camera prst="orthographicFront"/>
                <a:lightRig rig="threePt" dir="t"/>
              </a:scene3d>
              <a:sp3d contourW="19050" prstMaterial="flat">
                <a:contourClr>
                  <a:schemeClr val="accent4">
                    <a:lumMod val="80000"/>
                    <a:lumOff val="20000"/>
                    <a:lumMod val="75000"/>
                  </a:schemeClr>
                </a:contourClr>
              </a:sp3d>
            </c:spPr>
            <c:extLst>
              <c:ext xmlns:c16="http://schemas.microsoft.com/office/drawing/2014/chart" uri="{C3380CC4-5D6E-409C-BE32-E72D297353CC}">
                <c16:uniqueId val="{0000001F-3866-0D4D-BB6B-71AF7F2926C7}"/>
              </c:ext>
            </c:extLst>
          </c:dPt>
          <c:dPt>
            <c:idx val="16"/>
            <c:bubble3D val="0"/>
            <c:spPr>
              <a:solidFill>
                <a:schemeClr val="accent5">
                  <a:lumMod val="80000"/>
                  <a:lumOff val="20000"/>
                  <a:alpha val="90000"/>
                </a:schemeClr>
              </a:solidFill>
              <a:ln w="19050">
                <a:solidFill>
                  <a:schemeClr val="accent5">
                    <a:lumMod val="80000"/>
                    <a:lumOff val="20000"/>
                    <a:lumMod val="75000"/>
                  </a:schemeClr>
                </a:solidFill>
              </a:ln>
              <a:effectLst>
                <a:innerShdw blurRad="114300">
                  <a:schemeClr val="accent5">
                    <a:lumMod val="80000"/>
                    <a:lumOff val="20000"/>
                    <a:lumMod val="75000"/>
                  </a:schemeClr>
                </a:innerShdw>
              </a:effectLst>
              <a:scene3d>
                <a:camera prst="orthographicFront"/>
                <a:lightRig rig="threePt" dir="t"/>
              </a:scene3d>
              <a:sp3d contourW="19050" prstMaterial="flat">
                <a:contourClr>
                  <a:schemeClr val="accent5">
                    <a:lumMod val="80000"/>
                    <a:lumOff val="20000"/>
                    <a:lumMod val="75000"/>
                  </a:schemeClr>
                </a:contourClr>
              </a:sp3d>
            </c:spPr>
            <c:extLst>
              <c:ext xmlns:c16="http://schemas.microsoft.com/office/drawing/2014/chart" uri="{C3380CC4-5D6E-409C-BE32-E72D297353CC}">
                <c16:uniqueId val="{00000021-3866-0D4D-BB6B-71AF7F2926C7}"/>
              </c:ext>
            </c:extLst>
          </c:dPt>
          <c:dPt>
            <c:idx val="17"/>
            <c:bubble3D val="0"/>
            <c:spPr>
              <a:solidFill>
                <a:schemeClr val="accent6">
                  <a:lumMod val="80000"/>
                  <a:lumOff val="20000"/>
                  <a:alpha val="90000"/>
                </a:schemeClr>
              </a:solidFill>
              <a:ln w="19050">
                <a:solidFill>
                  <a:schemeClr val="accent6">
                    <a:lumMod val="80000"/>
                    <a:lumOff val="20000"/>
                    <a:lumMod val="75000"/>
                  </a:schemeClr>
                </a:solidFill>
              </a:ln>
              <a:effectLst>
                <a:innerShdw blurRad="114300">
                  <a:schemeClr val="accent6">
                    <a:lumMod val="80000"/>
                    <a:lumOff val="20000"/>
                    <a:lumMod val="75000"/>
                  </a:schemeClr>
                </a:innerShdw>
              </a:effectLst>
              <a:scene3d>
                <a:camera prst="orthographicFront"/>
                <a:lightRig rig="threePt" dir="t"/>
              </a:scene3d>
              <a:sp3d contourW="19050" prstMaterial="flat">
                <a:contourClr>
                  <a:schemeClr val="accent6">
                    <a:lumMod val="80000"/>
                    <a:lumOff val="20000"/>
                    <a:lumMod val="75000"/>
                  </a:schemeClr>
                </a:contourClr>
              </a:sp3d>
            </c:spPr>
            <c:extLst>
              <c:ext xmlns:c16="http://schemas.microsoft.com/office/drawing/2014/chart" uri="{C3380CC4-5D6E-409C-BE32-E72D297353CC}">
                <c16:uniqueId val="{00000023-3866-0D4D-BB6B-71AF7F2926C7}"/>
              </c:ext>
            </c:extLst>
          </c:dPt>
          <c:dPt>
            <c:idx val="18"/>
            <c:bubble3D val="0"/>
            <c:spPr>
              <a:solidFill>
                <a:schemeClr val="accent1">
                  <a:lumMod val="80000"/>
                  <a:alpha val="90000"/>
                </a:schemeClr>
              </a:solidFill>
              <a:ln w="19050">
                <a:solidFill>
                  <a:schemeClr val="accent1">
                    <a:lumMod val="80000"/>
                    <a:lumMod val="75000"/>
                  </a:schemeClr>
                </a:solidFill>
              </a:ln>
              <a:effectLst>
                <a:innerShdw blurRad="114300">
                  <a:schemeClr val="accent1">
                    <a:lumMod val="80000"/>
                    <a:lumMod val="75000"/>
                  </a:schemeClr>
                </a:innerShdw>
              </a:effectLst>
              <a:scene3d>
                <a:camera prst="orthographicFront"/>
                <a:lightRig rig="threePt" dir="t"/>
              </a:scene3d>
              <a:sp3d contourW="19050" prstMaterial="flat">
                <a:contourClr>
                  <a:schemeClr val="accent1">
                    <a:lumMod val="80000"/>
                    <a:lumMod val="75000"/>
                  </a:schemeClr>
                </a:contourClr>
              </a:sp3d>
            </c:spPr>
            <c:extLst>
              <c:ext xmlns:c16="http://schemas.microsoft.com/office/drawing/2014/chart" uri="{C3380CC4-5D6E-409C-BE32-E72D297353CC}">
                <c16:uniqueId val="{00000025-3866-0D4D-BB6B-71AF7F2926C7}"/>
              </c:ext>
            </c:extLst>
          </c:dPt>
          <c:dPt>
            <c:idx val="19"/>
            <c:bubble3D val="0"/>
            <c:spPr>
              <a:solidFill>
                <a:schemeClr val="accent2">
                  <a:lumMod val="80000"/>
                  <a:alpha val="90000"/>
                </a:schemeClr>
              </a:solidFill>
              <a:ln w="19050">
                <a:solidFill>
                  <a:schemeClr val="accent2">
                    <a:lumMod val="80000"/>
                    <a:lumMod val="75000"/>
                  </a:schemeClr>
                </a:solidFill>
              </a:ln>
              <a:effectLst>
                <a:innerShdw blurRad="114300">
                  <a:schemeClr val="accent2">
                    <a:lumMod val="80000"/>
                    <a:lumMod val="75000"/>
                  </a:schemeClr>
                </a:innerShdw>
              </a:effectLst>
              <a:scene3d>
                <a:camera prst="orthographicFront"/>
                <a:lightRig rig="threePt" dir="t"/>
              </a:scene3d>
              <a:sp3d contourW="19050" prstMaterial="flat">
                <a:contourClr>
                  <a:schemeClr val="accent2">
                    <a:lumMod val="80000"/>
                    <a:lumMod val="75000"/>
                  </a:schemeClr>
                </a:contourClr>
              </a:sp3d>
            </c:spPr>
            <c:extLst>
              <c:ext xmlns:c16="http://schemas.microsoft.com/office/drawing/2014/chart" uri="{C3380CC4-5D6E-409C-BE32-E72D297353CC}">
                <c16:uniqueId val="{00000027-3866-0D4D-BB6B-71AF7F2926C7}"/>
              </c:ext>
            </c:extLst>
          </c:dPt>
          <c:dPt>
            <c:idx val="20"/>
            <c:bubble3D val="0"/>
            <c:spPr>
              <a:solidFill>
                <a:schemeClr val="accent3">
                  <a:lumMod val="80000"/>
                  <a:alpha val="90000"/>
                </a:schemeClr>
              </a:solidFill>
              <a:ln w="19050">
                <a:solidFill>
                  <a:schemeClr val="accent3">
                    <a:lumMod val="80000"/>
                    <a:lumMod val="75000"/>
                  </a:schemeClr>
                </a:solidFill>
              </a:ln>
              <a:effectLst>
                <a:innerShdw blurRad="114300">
                  <a:schemeClr val="accent3">
                    <a:lumMod val="80000"/>
                    <a:lumMod val="75000"/>
                  </a:schemeClr>
                </a:innerShdw>
              </a:effectLst>
              <a:scene3d>
                <a:camera prst="orthographicFront"/>
                <a:lightRig rig="threePt" dir="t"/>
              </a:scene3d>
              <a:sp3d contourW="19050" prstMaterial="flat">
                <a:contourClr>
                  <a:schemeClr val="accent3">
                    <a:lumMod val="80000"/>
                    <a:lumMod val="75000"/>
                  </a:schemeClr>
                </a:contourClr>
              </a:sp3d>
            </c:spPr>
            <c:extLst>
              <c:ext xmlns:c16="http://schemas.microsoft.com/office/drawing/2014/chart" uri="{C3380CC4-5D6E-409C-BE32-E72D297353CC}">
                <c16:uniqueId val="{00000029-3866-0D4D-BB6B-71AF7F2926C7}"/>
              </c:ext>
            </c:extLst>
          </c:dPt>
          <c:dPt>
            <c:idx val="21"/>
            <c:bubble3D val="0"/>
            <c:spPr>
              <a:solidFill>
                <a:schemeClr val="accent4">
                  <a:lumMod val="80000"/>
                  <a:alpha val="90000"/>
                </a:schemeClr>
              </a:solidFill>
              <a:ln w="19050">
                <a:solidFill>
                  <a:schemeClr val="accent4">
                    <a:lumMod val="80000"/>
                    <a:lumMod val="75000"/>
                  </a:schemeClr>
                </a:solidFill>
              </a:ln>
              <a:effectLst>
                <a:innerShdw blurRad="114300">
                  <a:schemeClr val="accent4">
                    <a:lumMod val="80000"/>
                    <a:lumMod val="75000"/>
                  </a:schemeClr>
                </a:innerShdw>
              </a:effectLst>
              <a:scene3d>
                <a:camera prst="orthographicFront"/>
                <a:lightRig rig="threePt" dir="t"/>
              </a:scene3d>
              <a:sp3d contourW="19050" prstMaterial="flat">
                <a:contourClr>
                  <a:schemeClr val="accent4">
                    <a:lumMod val="80000"/>
                    <a:lumMod val="75000"/>
                  </a:schemeClr>
                </a:contourClr>
              </a:sp3d>
            </c:spPr>
            <c:extLst>
              <c:ext xmlns:c16="http://schemas.microsoft.com/office/drawing/2014/chart" uri="{C3380CC4-5D6E-409C-BE32-E72D297353CC}">
                <c16:uniqueId val="{0000002B-3866-0D4D-BB6B-71AF7F2926C7}"/>
              </c:ext>
            </c:extLst>
          </c:dPt>
          <c:dPt>
            <c:idx val="22"/>
            <c:bubble3D val="0"/>
            <c:spPr>
              <a:solidFill>
                <a:schemeClr val="accent5">
                  <a:lumMod val="80000"/>
                  <a:alpha val="90000"/>
                </a:schemeClr>
              </a:solidFill>
              <a:ln w="19050">
                <a:solidFill>
                  <a:schemeClr val="accent5">
                    <a:lumMod val="80000"/>
                    <a:lumMod val="75000"/>
                  </a:schemeClr>
                </a:solidFill>
              </a:ln>
              <a:effectLst>
                <a:innerShdw blurRad="114300">
                  <a:schemeClr val="accent5">
                    <a:lumMod val="80000"/>
                    <a:lumMod val="75000"/>
                  </a:schemeClr>
                </a:innerShdw>
              </a:effectLst>
              <a:scene3d>
                <a:camera prst="orthographicFront"/>
                <a:lightRig rig="threePt" dir="t"/>
              </a:scene3d>
              <a:sp3d contourW="19050" prstMaterial="flat">
                <a:contourClr>
                  <a:schemeClr val="accent5">
                    <a:lumMod val="80000"/>
                    <a:lumMod val="75000"/>
                  </a:schemeClr>
                </a:contourClr>
              </a:sp3d>
            </c:spPr>
            <c:extLst>
              <c:ext xmlns:c16="http://schemas.microsoft.com/office/drawing/2014/chart" uri="{C3380CC4-5D6E-409C-BE32-E72D297353CC}">
                <c16:uniqueId val="{0000002D-3866-0D4D-BB6B-71AF7F2926C7}"/>
              </c:ext>
            </c:extLst>
          </c:dPt>
          <c:dPt>
            <c:idx val="23"/>
            <c:bubble3D val="0"/>
            <c:spPr>
              <a:solidFill>
                <a:schemeClr val="accent6">
                  <a:lumMod val="80000"/>
                  <a:alpha val="90000"/>
                </a:schemeClr>
              </a:solidFill>
              <a:ln w="19050">
                <a:solidFill>
                  <a:schemeClr val="accent6">
                    <a:lumMod val="80000"/>
                    <a:lumMod val="75000"/>
                  </a:schemeClr>
                </a:solidFill>
              </a:ln>
              <a:effectLst>
                <a:innerShdw blurRad="114300">
                  <a:schemeClr val="accent6">
                    <a:lumMod val="80000"/>
                    <a:lumMod val="75000"/>
                  </a:schemeClr>
                </a:innerShdw>
              </a:effectLst>
              <a:scene3d>
                <a:camera prst="orthographicFront"/>
                <a:lightRig rig="threePt" dir="t"/>
              </a:scene3d>
              <a:sp3d contourW="19050" prstMaterial="flat">
                <a:contourClr>
                  <a:schemeClr val="accent6">
                    <a:lumMod val="80000"/>
                    <a:lumMod val="75000"/>
                  </a:schemeClr>
                </a:contourClr>
              </a:sp3d>
            </c:spPr>
            <c:extLst>
              <c:ext xmlns:c16="http://schemas.microsoft.com/office/drawing/2014/chart" uri="{C3380CC4-5D6E-409C-BE32-E72D297353CC}">
                <c16:uniqueId val="{0000002F-3866-0D4D-BB6B-71AF7F2926C7}"/>
              </c:ext>
            </c:extLst>
          </c:dPt>
          <c:dPt>
            <c:idx val="24"/>
            <c:bubble3D val="0"/>
            <c:spPr>
              <a:solidFill>
                <a:schemeClr val="accent1">
                  <a:lumMod val="60000"/>
                  <a:lumOff val="40000"/>
                  <a:alpha val="90000"/>
                </a:schemeClr>
              </a:solidFill>
              <a:ln w="19050">
                <a:solidFill>
                  <a:schemeClr val="accent1">
                    <a:lumMod val="60000"/>
                    <a:lumOff val="40000"/>
                    <a:lumMod val="75000"/>
                  </a:schemeClr>
                </a:solidFill>
              </a:ln>
              <a:effectLst>
                <a:innerShdw blurRad="114300">
                  <a:schemeClr val="accent1">
                    <a:lumMod val="60000"/>
                    <a:lumOff val="40000"/>
                    <a:lumMod val="75000"/>
                  </a:schemeClr>
                </a:innerShdw>
              </a:effectLst>
              <a:scene3d>
                <a:camera prst="orthographicFront"/>
                <a:lightRig rig="threePt" dir="t"/>
              </a:scene3d>
              <a:sp3d contourW="19050" prstMaterial="flat">
                <a:contourClr>
                  <a:schemeClr val="accent1">
                    <a:lumMod val="60000"/>
                    <a:lumOff val="40000"/>
                    <a:lumMod val="75000"/>
                  </a:schemeClr>
                </a:contourClr>
              </a:sp3d>
            </c:spPr>
            <c:extLst>
              <c:ext xmlns:c16="http://schemas.microsoft.com/office/drawing/2014/chart" uri="{C3380CC4-5D6E-409C-BE32-E72D297353CC}">
                <c16:uniqueId val="{00000031-3866-0D4D-BB6B-71AF7F2926C7}"/>
              </c:ext>
            </c:extLst>
          </c:dPt>
          <c:dPt>
            <c:idx val="25"/>
            <c:bubble3D val="0"/>
            <c:spPr>
              <a:solidFill>
                <a:schemeClr val="accent2">
                  <a:lumMod val="60000"/>
                  <a:lumOff val="40000"/>
                  <a:alpha val="90000"/>
                </a:schemeClr>
              </a:solidFill>
              <a:ln w="19050">
                <a:solidFill>
                  <a:schemeClr val="accent2">
                    <a:lumMod val="60000"/>
                    <a:lumOff val="40000"/>
                    <a:lumMod val="75000"/>
                  </a:schemeClr>
                </a:solidFill>
              </a:ln>
              <a:effectLst>
                <a:innerShdw blurRad="114300">
                  <a:schemeClr val="accent2">
                    <a:lumMod val="60000"/>
                    <a:lumOff val="40000"/>
                    <a:lumMod val="75000"/>
                  </a:schemeClr>
                </a:innerShdw>
              </a:effectLst>
              <a:scene3d>
                <a:camera prst="orthographicFront"/>
                <a:lightRig rig="threePt" dir="t"/>
              </a:scene3d>
              <a:sp3d contourW="19050" prstMaterial="flat">
                <a:contourClr>
                  <a:schemeClr val="accent2">
                    <a:lumMod val="60000"/>
                    <a:lumOff val="40000"/>
                    <a:lumMod val="75000"/>
                  </a:schemeClr>
                </a:contourClr>
              </a:sp3d>
            </c:spPr>
            <c:extLst>
              <c:ext xmlns:c16="http://schemas.microsoft.com/office/drawing/2014/chart" uri="{C3380CC4-5D6E-409C-BE32-E72D297353CC}">
                <c16:uniqueId val="{00000033-3866-0D4D-BB6B-71AF7F2926C7}"/>
              </c:ext>
            </c:extLst>
          </c:dPt>
          <c:dPt>
            <c:idx val="26"/>
            <c:bubble3D val="0"/>
            <c:spPr>
              <a:solidFill>
                <a:schemeClr val="accent3">
                  <a:lumMod val="60000"/>
                  <a:lumOff val="40000"/>
                  <a:alpha val="90000"/>
                </a:schemeClr>
              </a:solidFill>
              <a:ln w="19050">
                <a:solidFill>
                  <a:schemeClr val="accent3">
                    <a:lumMod val="60000"/>
                    <a:lumOff val="40000"/>
                    <a:lumMod val="75000"/>
                  </a:schemeClr>
                </a:solidFill>
              </a:ln>
              <a:effectLst>
                <a:innerShdw blurRad="114300">
                  <a:schemeClr val="accent3">
                    <a:lumMod val="60000"/>
                    <a:lumOff val="40000"/>
                    <a:lumMod val="75000"/>
                  </a:schemeClr>
                </a:innerShdw>
              </a:effectLst>
              <a:scene3d>
                <a:camera prst="orthographicFront"/>
                <a:lightRig rig="threePt" dir="t"/>
              </a:scene3d>
              <a:sp3d contourW="19050" prstMaterial="flat">
                <a:contourClr>
                  <a:schemeClr val="accent3">
                    <a:lumMod val="60000"/>
                    <a:lumOff val="40000"/>
                    <a:lumMod val="75000"/>
                  </a:schemeClr>
                </a:contourClr>
              </a:sp3d>
            </c:spPr>
            <c:extLst>
              <c:ext xmlns:c16="http://schemas.microsoft.com/office/drawing/2014/chart" uri="{C3380CC4-5D6E-409C-BE32-E72D297353CC}">
                <c16:uniqueId val="{00000035-3866-0D4D-BB6B-71AF7F2926C7}"/>
              </c:ext>
            </c:extLst>
          </c:dPt>
          <c:dPt>
            <c:idx val="27"/>
            <c:bubble3D val="0"/>
            <c:spPr>
              <a:solidFill>
                <a:schemeClr val="accent4">
                  <a:lumMod val="60000"/>
                  <a:lumOff val="40000"/>
                  <a:alpha val="90000"/>
                </a:schemeClr>
              </a:solidFill>
              <a:ln w="19050">
                <a:solidFill>
                  <a:schemeClr val="accent4">
                    <a:lumMod val="60000"/>
                    <a:lumOff val="40000"/>
                    <a:lumMod val="75000"/>
                  </a:schemeClr>
                </a:solidFill>
              </a:ln>
              <a:effectLst>
                <a:innerShdw blurRad="114300">
                  <a:schemeClr val="accent4">
                    <a:lumMod val="60000"/>
                    <a:lumOff val="40000"/>
                    <a:lumMod val="75000"/>
                  </a:schemeClr>
                </a:innerShdw>
              </a:effectLst>
              <a:scene3d>
                <a:camera prst="orthographicFront"/>
                <a:lightRig rig="threePt" dir="t"/>
              </a:scene3d>
              <a:sp3d contourW="19050" prstMaterial="flat">
                <a:contourClr>
                  <a:schemeClr val="accent4">
                    <a:lumMod val="60000"/>
                    <a:lumOff val="40000"/>
                    <a:lumMod val="75000"/>
                  </a:schemeClr>
                </a:contourClr>
              </a:sp3d>
            </c:spPr>
            <c:extLst>
              <c:ext xmlns:c16="http://schemas.microsoft.com/office/drawing/2014/chart" uri="{C3380CC4-5D6E-409C-BE32-E72D297353CC}">
                <c16:uniqueId val="{00000037-3866-0D4D-BB6B-71AF7F2926C7}"/>
              </c:ext>
            </c:extLst>
          </c:dPt>
          <c:dPt>
            <c:idx val="28"/>
            <c:bubble3D val="0"/>
            <c:spPr>
              <a:solidFill>
                <a:schemeClr val="accent5">
                  <a:lumMod val="60000"/>
                  <a:lumOff val="40000"/>
                  <a:alpha val="90000"/>
                </a:schemeClr>
              </a:solidFill>
              <a:ln w="19050">
                <a:solidFill>
                  <a:schemeClr val="accent5">
                    <a:lumMod val="60000"/>
                    <a:lumOff val="40000"/>
                    <a:lumMod val="75000"/>
                  </a:schemeClr>
                </a:solidFill>
              </a:ln>
              <a:effectLst>
                <a:innerShdw blurRad="114300">
                  <a:schemeClr val="accent5">
                    <a:lumMod val="60000"/>
                    <a:lumOff val="40000"/>
                    <a:lumMod val="75000"/>
                  </a:schemeClr>
                </a:innerShdw>
              </a:effectLst>
              <a:scene3d>
                <a:camera prst="orthographicFront"/>
                <a:lightRig rig="threePt" dir="t"/>
              </a:scene3d>
              <a:sp3d contourW="19050" prstMaterial="flat">
                <a:contourClr>
                  <a:schemeClr val="accent5">
                    <a:lumMod val="60000"/>
                    <a:lumOff val="40000"/>
                    <a:lumMod val="75000"/>
                  </a:schemeClr>
                </a:contourClr>
              </a:sp3d>
            </c:spPr>
            <c:extLst>
              <c:ext xmlns:c16="http://schemas.microsoft.com/office/drawing/2014/chart" uri="{C3380CC4-5D6E-409C-BE32-E72D297353CC}">
                <c16:uniqueId val="{00000039-3866-0D4D-BB6B-71AF7F2926C7}"/>
              </c:ext>
            </c:extLst>
          </c:dPt>
          <c:dPt>
            <c:idx val="29"/>
            <c:bubble3D val="0"/>
            <c:spPr>
              <a:solidFill>
                <a:schemeClr val="accent6">
                  <a:lumMod val="60000"/>
                  <a:lumOff val="40000"/>
                  <a:alpha val="90000"/>
                </a:schemeClr>
              </a:solidFill>
              <a:ln w="19050">
                <a:solidFill>
                  <a:schemeClr val="accent6">
                    <a:lumMod val="60000"/>
                    <a:lumOff val="40000"/>
                    <a:lumMod val="75000"/>
                  </a:schemeClr>
                </a:solidFill>
              </a:ln>
              <a:effectLst>
                <a:innerShdw blurRad="114300">
                  <a:schemeClr val="accent6">
                    <a:lumMod val="60000"/>
                    <a:lumOff val="40000"/>
                    <a:lumMod val="75000"/>
                  </a:schemeClr>
                </a:innerShdw>
              </a:effectLst>
              <a:scene3d>
                <a:camera prst="orthographicFront"/>
                <a:lightRig rig="threePt" dir="t"/>
              </a:scene3d>
              <a:sp3d contourW="19050" prstMaterial="flat">
                <a:contourClr>
                  <a:schemeClr val="accent6">
                    <a:lumMod val="60000"/>
                    <a:lumOff val="40000"/>
                    <a:lumMod val="75000"/>
                  </a:schemeClr>
                </a:contourClr>
              </a:sp3d>
            </c:spPr>
            <c:extLst>
              <c:ext xmlns:c16="http://schemas.microsoft.com/office/drawing/2014/chart" uri="{C3380CC4-5D6E-409C-BE32-E72D297353CC}">
                <c16:uniqueId val="{0000003B-3866-0D4D-BB6B-71AF7F2926C7}"/>
              </c:ext>
            </c:extLst>
          </c:dPt>
          <c:dPt>
            <c:idx val="30"/>
            <c:bubble3D val="0"/>
            <c:spPr>
              <a:solidFill>
                <a:schemeClr val="accent1">
                  <a:lumMod val="50000"/>
                  <a:alpha val="90000"/>
                </a:schemeClr>
              </a:solidFill>
              <a:ln w="19050">
                <a:solidFill>
                  <a:schemeClr val="accent1">
                    <a:lumMod val="50000"/>
                    <a:lumMod val="75000"/>
                  </a:schemeClr>
                </a:solidFill>
              </a:ln>
              <a:effectLst>
                <a:innerShdw blurRad="114300">
                  <a:schemeClr val="accent1">
                    <a:lumMod val="50000"/>
                    <a:lumMod val="75000"/>
                  </a:schemeClr>
                </a:innerShdw>
              </a:effectLst>
              <a:scene3d>
                <a:camera prst="orthographicFront"/>
                <a:lightRig rig="threePt" dir="t"/>
              </a:scene3d>
              <a:sp3d contourW="19050" prstMaterial="flat">
                <a:contourClr>
                  <a:schemeClr val="accent1">
                    <a:lumMod val="50000"/>
                    <a:lumMod val="75000"/>
                  </a:schemeClr>
                </a:contourClr>
              </a:sp3d>
            </c:spPr>
            <c:extLst>
              <c:ext xmlns:c16="http://schemas.microsoft.com/office/drawing/2014/chart" uri="{C3380CC4-5D6E-409C-BE32-E72D297353CC}">
                <c16:uniqueId val="{0000003D-3866-0D4D-BB6B-71AF7F2926C7}"/>
              </c:ext>
            </c:extLst>
          </c:dPt>
          <c:dPt>
            <c:idx val="31"/>
            <c:bubble3D val="0"/>
            <c:spPr>
              <a:solidFill>
                <a:schemeClr val="accent2">
                  <a:lumMod val="50000"/>
                  <a:alpha val="90000"/>
                </a:schemeClr>
              </a:solidFill>
              <a:ln w="19050">
                <a:solidFill>
                  <a:schemeClr val="accent2">
                    <a:lumMod val="50000"/>
                    <a:lumMod val="75000"/>
                  </a:schemeClr>
                </a:solidFill>
              </a:ln>
              <a:effectLst>
                <a:innerShdw blurRad="114300">
                  <a:schemeClr val="accent2">
                    <a:lumMod val="50000"/>
                    <a:lumMod val="75000"/>
                  </a:schemeClr>
                </a:innerShdw>
              </a:effectLst>
              <a:scene3d>
                <a:camera prst="orthographicFront"/>
                <a:lightRig rig="threePt" dir="t"/>
              </a:scene3d>
              <a:sp3d contourW="19050" prstMaterial="flat">
                <a:contourClr>
                  <a:schemeClr val="accent2">
                    <a:lumMod val="50000"/>
                    <a:lumMod val="75000"/>
                  </a:schemeClr>
                </a:contourClr>
              </a:sp3d>
            </c:spPr>
            <c:extLst>
              <c:ext xmlns:c16="http://schemas.microsoft.com/office/drawing/2014/chart" uri="{C3380CC4-5D6E-409C-BE32-E72D297353CC}">
                <c16:uniqueId val="{0000003F-3866-0D4D-BB6B-71AF7F2926C7}"/>
              </c:ext>
            </c:extLst>
          </c:dPt>
          <c:dPt>
            <c:idx val="32"/>
            <c:bubble3D val="0"/>
            <c:spPr>
              <a:solidFill>
                <a:schemeClr val="accent3">
                  <a:lumMod val="50000"/>
                  <a:alpha val="90000"/>
                </a:schemeClr>
              </a:solidFill>
              <a:ln w="19050">
                <a:solidFill>
                  <a:schemeClr val="accent3">
                    <a:lumMod val="50000"/>
                    <a:lumMod val="75000"/>
                  </a:schemeClr>
                </a:solidFill>
              </a:ln>
              <a:effectLst>
                <a:innerShdw blurRad="114300">
                  <a:schemeClr val="accent3">
                    <a:lumMod val="50000"/>
                    <a:lumMod val="75000"/>
                  </a:schemeClr>
                </a:innerShdw>
              </a:effectLst>
              <a:scene3d>
                <a:camera prst="orthographicFront"/>
                <a:lightRig rig="threePt" dir="t"/>
              </a:scene3d>
              <a:sp3d contourW="19050" prstMaterial="flat">
                <a:contourClr>
                  <a:schemeClr val="accent3">
                    <a:lumMod val="50000"/>
                    <a:lumMod val="75000"/>
                  </a:schemeClr>
                </a:contourClr>
              </a:sp3d>
            </c:spPr>
            <c:extLst>
              <c:ext xmlns:c16="http://schemas.microsoft.com/office/drawing/2014/chart" uri="{C3380CC4-5D6E-409C-BE32-E72D297353CC}">
                <c16:uniqueId val="{00000041-3866-0D4D-BB6B-71AF7F2926C7}"/>
              </c:ext>
            </c:extLst>
          </c:dPt>
          <c:dPt>
            <c:idx val="33"/>
            <c:bubble3D val="0"/>
            <c:spPr>
              <a:solidFill>
                <a:schemeClr val="accent4">
                  <a:lumMod val="50000"/>
                  <a:alpha val="90000"/>
                </a:schemeClr>
              </a:solidFill>
              <a:ln w="19050">
                <a:solidFill>
                  <a:schemeClr val="accent4">
                    <a:lumMod val="50000"/>
                    <a:lumMod val="75000"/>
                  </a:schemeClr>
                </a:solidFill>
              </a:ln>
              <a:effectLst>
                <a:innerShdw blurRad="114300">
                  <a:schemeClr val="accent4">
                    <a:lumMod val="50000"/>
                    <a:lumMod val="75000"/>
                  </a:schemeClr>
                </a:innerShdw>
              </a:effectLst>
              <a:scene3d>
                <a:camera prst="orthographicFront"/>
                <a:lightRig rig="threePt" dir="t"/>
              </a:scene3d>
              <a:sp3d contourW="19050" prstMaterial="flat">
                <a:contourClr>
                  <a:schemeClr val="accent4">
                    <a:lumMod val="50000"/>
                    <a:lumMod val="75000"/>
                  </a:schemeClr>
                </a:contourClr>
              </a:sp3d>
            </c:spPr>
            <c:extLst>
              <c:ext xmlns:c16="http://schemas.microsoft.com/office/drawing/2014/chart" uri="{C3380CC4-5D6E-409C-BE32-E72D297353CC}">
                <c16:uniqueId val="{00000043-3866-0D4D-BB6B-71AF7F2926C7}"/>
              </c:ext>
            </c:extLst>
          </c:dPt>
          <c:dPt>
            <c:idx val="34"/>
            <c:bubble3D val="0"/>
            <c:spPr>
              <a:solidFill>
                <a:schemeClr val="accent5">
                  <a:lumMod val="50000"/>
                  <a:alpha val="90000"/>
                </a:schemeClr>
              </a:solidFill>
              <a:ln w="19050">
                <a:solidFill>
                  <a:schemeClr val="accent5">
                    <a:lumMod val="50000"/>
                    <a:lumMod val="75000"/>
                  </a:schemeClr>
                </a:solidFill>
              </a:ln>
              <a:effectLst>
                <a:innerShdw blurRad="114300">
                  <a:schemeClr val="accent5">
                    <a:lumMod val="50000"/>
                    <a:lumMod val="75000"/>
                  </a:schemeClr>
                </a:innerShdw>
              </a:effectLst>
              <a:scene3d>
                <a:camera prst="orthographicFront"/>
                <a:lightRig rig="threePt" dir="t"/>
              </a:scene3d>
              <a:sp3d contourW="19050" prstMaterial="flat">
                <a:contourClr>
                  <a:schemeClr val="accent5">
                    <a:lumMod val="50000"/>
                    <a:lumMod val="75000"/>
                  </a:schemeClr>
                </a:contourClr>
              </a:sp3d>
            </c:spPr>
            <c:extLst>
              <c:ext xmlns:c16="http://schemas.microsoft.com/office/drawing/2014/chart" uri="{C3380CC4-5D6E-409C-BE32-E72D297353CC}">
                <c16:uniqueId val="{00000045-3866-0D4D-BB6B-71AF7F2926C7}"/>
              </c:ext>
            </c:extLst>
          </c:dPt>
          <c:dPt>
            <c:idx val="35"/>
            <c:bubble3D val="0"/>
            <c:spPr>
              <a:solidFill>
                <a:schemeClr val="accent6">
                  <a:lumMod val="50000"/>
                  <a:alpha val="90000"/>
                </a:schemeClr>
              </a:solidFill>
              <a:ln w="19050">
                <a:solidFill>
                  <a:schemeClr val="accent6">
                    <a:lumMod val="50000"/>
                    <a:lumMod val="75000"/>
                  </a:schemeClr>
                </a:solidFill>
              </a:ln>
              <a:effectLst>
                <a:innerShdw blurRad="114300">
                  <a:schemeClr val="accent6">
                    <a:lumMod val="50000"/>
                    <a:lumMod val="75000"/>
                  </a:schemeClr>
                </a:innerShdw>
              </a:effectLst>
              <a:scene3d>
                <a:camera prst="orthographicFront"/>
                <a:lightRig rig="threePt" dir="t"/>
              </a:scene3d>
              <a:sp3d contourW="19050" prstMaterial="flat">
                <a:contourClr>
                  <a:schemeClr val="accent6">
                    <a:lumMod val="50000"/>
                    <a:lumMod val="75000"/>
                  </a:schemeClr>
                </a:contourClr>
              </a:sp3d>
            </c:spPr>
            <c:extLst>
              <c:ext xmlns:c16="http://schemas.microsoft.com/office/drawing/2014/chart" uri="{C3380CC4-5D6E-409C-BE32-E72D297353CC}">
                <c16:uniqueId val="{00000047-3866-0D4D-BB6B-71AF7F2926C7}"/>
              </c:ext>
            </c:extLst>
          </c:dPt>
          <c:dPt>
            <c:idx val="36"/>
            <c:bubble3D val="0"/>
            <c:spPr>
              <a:solidFill>
                <a:schemeClr val="accent1">
                  <a:lumMod val="70000"/>
                  <a:lumOff val="30000"/>
                  <a:alpha val="90000"/>
                </a:schemeClr>
              </a:solidFill>
              <a:ln w="19050">
                <a:solidFill>
                  <a:schemeClr val="accent1">
                    <a:lumMod val="70000"/>
                    <a:lumOff val="30000"/>
                    <a:lumMod val="75000"/>
                  </a:schemeClr>
                </a:solidFill>
              </a:ln>
              <a:effectLst>
                <a:innerShdw blurRad="114300">
                  <a:schemeClr val="accent1">
                    <a:lumMod val="70000"/>
                    <a:lumOff val="30000"/>
                    <a:lumMod val="75000"/>
                  </a:schemeClr>
                </a:innerShdw>
              </a:effectLst>
              <a:scene3d>
                <a:camera prst="orthographicFront"/>
                <a:lightRig rig="threePt" dir="t"/>
              </a:scene3d>
              <a:sp3d contourW="19050" prstMaterial="flat">
                <a:contourClr>
                  <a:schemeClr val="accent1">
                    <a:lumMod val="70000"/>
                    <a:lumOff val="30000"/>
                    <a:lumMod val="75000"/>
                  </a:schemeClr>
                </a:contourClr>
              </a:sp3d>
            </c:spPr>
            <c:extLst>
              <c:ext xmlns:c16="http://schemas.microsoft.com/office/drawing/2014/chart" uri="{C3380CC4-5D6E-409C-BE32-E72D297353CC}">
                <c16:uniqueId val="{00000049-3866-0D4D-BB6B-71AF7F2926C7}"/>
              </c:ext>
            </c:extLst>
          </c:dPt>
          <c:dPt>
            <c:idx val="37"/>
            <c:bubble3D val="0"/>
            <c:spPr>
              <a:solidFill>
                <a:schemeClr val="accent2">
                  <a:lumMod val="70000"/>
                  <a:lumOff val="30000"/>
                  <a:alpha val="90000"/>
                </a:schemeClr>
              </a:solidFill>
              <a:ln w="19050">
                <a:solidFill>
                  <a:schemeClr val="accent2">
                    <a:lumMod val="70000"/>
                    <a:lumOff val="30000"/>
                    <a:lumMod val="75000"/>
                  </a:schemeClr>
                </a:solidFill>
              </a:ln>
              <a:effectLst>
                <a:innerShdw blurRad="114300">
                  <a:schemeClr val="accent2">
                    <a:lumMod val="70000"/>
                    <a:lumOff val="30000"/>
                    <a:lumMod val="75000"/>
                  </a:schemeClr>
                </a:innerShdw>
              </a:effectLst>
              <a:scene3d>
                <a:camera prst="orthographicFront"/>
                <a:lightRig rig="threePt" dir="t"/>
              </a:scene3d>
              <a:sp3d contourW="19050" prstMaterial="flat">
                <a:contourClr>
                  <a:schemeClr val="accent2">
                    <a:lumMod val="70000"/>
                    <a:lumOff val="30000"/>
                    <a:lumMod val="75000"/>
                  </a:schemeClr>
                </a:contourClr>
              </a:sp3d>
            </c:spPr>
            <c:extLst>
              <c:ext xmlns:c16="http://schemas.microsoft.com/office/drawing/2014/chart" uri="{C3380CC4-5D6E-409C-BE32-E72D297353CC}">
                <c16:uniqueId val="{0000004B-3866-0D4D-BB6B-71AF7F2926C7}"/>
              </c:ext>
            </c:extLst>
          </c:dPt>
          <c:dPt>
            <c:idx val="38"/>
            <c:bubble3D val="0"/>
            <c:spPr>
              <a:solidFill>
                <a:schemeClr val="accent3">
                  <a:lumMod val="70000"/>
                  <a:lumOff val="30000"/>
                  <a:alpha val="90000"/>
                </a:schemeClr>
              </a:solidFill>
              <a:ln w="19050">
                <a:solidFill>
                  <a:schemeClr val="accent3">
                    <a:lumMod val="70000"/>
                    <a:lumOff val="30000"/>
                    <a:lumMod val="75000"/>
                  </a:schemeClr>
                </a:solidFill>
              </a:ln>
              <a:effectLst>
                <a:innerShdw blurRad="114300">
                  <a:schemeClr val="accent3">
                    <a:lumMod val="70000"/>
                    <a:lumOff val="30000"/>
                    <a:lumMod val="75000"/>
                  </a:schemeClr>
                </a:innerShdw>
              </a:effectLst>
              <a:scene3d>
                <a:camera prst="orthographicFront"/>
                <a:lightRig rig="threePt" dir="t"/>
              </a:scene3d>
              <a:sp3d contourW="19050" prstMaterial="flat">
                <a:contourClr>
                  <a:schemeClr val="accent3">
                    <a:lumMod val="70000"/>
                    <a:lumOff val="30000"/>
                    <a:lumMod val="75000"/>
                  </a:schemeClr>
                </a:contourClr>
              </a:sp3d>
            </c:spPr>
            <c:extLst>
              <c:ext xmlns:c16="http://schemas.microsoft.com/office/drawing/2014/chart" uri="{C3380CC4-5D6E-409C-BE32-E72D297353CC}">
                <c16:uniqueId val="{0000004D-3866-0D4D-BB6B-71AF7F2926C7}"/>
              </c:ext>
            </c:extLst>
          </c:dPt>
          <c:dPt>
            <c:idx val="39"/>
            <c:bubble3D val="0"/>
            <c:spPr>
              <a:solidFill>
                <a:schemeClr val="accent4">
                  <a:lumMod val="70000"/>
                  <a:lumOff val="30000"/>
                  <a:alpha val="90000"/>
                </a:schemeClr>
              </a:solidFill>
              <a:ln w="19050">
                <a:solidFill>
                  <a:schemeClr val="accent4">
                    <a:lumMod val="70000"/>
                    <a:lumOff val="30000"/>
                    <a:lumMod val="75000"/>
                  </a:schemeClr>
                </a:solidFill>
              </a:ln>
              <a:effectLst>
                <a:innerShdw blurRad="114300">
                  <a:schemeClr val="accent4">
                    <a:lumMod val="70000"/>
                    <a:lumOff val="30000"/>
                    <a:lumMod val="75000"/>
                  </a:schemeClr>
                </a:innerShdw>
              </a:effectLst>
              <a:scene3d>
                <a:camera prst="orthographicFront"/>
                <a:lightRig rig="threePt" dir="t"/>
              </a:scene3d>
              <a:sp3d contourW="19050" prstMaterial="flat">
                <a:contourClr>
                  <a:schemeClr val="accent4">
                    <a:lumMod val="70000"/>
                    <a:lumOff val="30000"/>
                    <a:lumMod val="75000"/>
                  </a:schemeClr>
                </a:contourClr>
              </a:sp3d>
            </c:spPr>
            <c:extLst>
              <c:ext xmlns:c16="http://schemas.microsoft.com/office/drawing/2014/chart" uri="{C3380CC4-5D6E-409C-BE32-E72D297353CC}">
                <c16:uniqueId val="{0000004F-3866-0D4D-BB6B-71AF7F2926C7}"/>
              </c:ext>
            </c:extLst>
          </c:dPt>
          <c:dPt>
            <c:idx val="40"/>
            <c:bubble3D val="0"/>
            <c:spPr>
              <a:solidFill>
                <a:schemeClr val="accent5">
                  <a:lumMod val="70000"/>
                  <a:lumOff val="30000"/>
                  <a:alpha val="90000"/>
                </a:schemeClr>
              </a:solidFill>
              <a:ln w="19050">
                <a:solidFill>
                  <a:schemeClr val="accent5">
                    <a:lumMod val="70000"/>
                    <a:lumOff val="30000"/>
                    <a:lumMod val="75000"/>
                  </a:schemeClr>
                </a:solidFill>
              </a:ln>
              <a:effectLst>
                <a:innerShdw blurRad="114300">
                  <a:schemeClr val="accent5">
                    <a:lumMod val="70000"/>
                    <a:lumOff val="30000"/>
                    <a:lumMod val="75000"/>
                  </a:schemeClr>
                </a:innerShdw>
              </a:effectLst>
              <a:scene3d>
                <a:camera prst="orthographicFront"/>
                <a:lightRig rig="threePt" dir="t"/>
              </a:scene3d>
              <a:sp3d contourW="19050" prstMaterial="flat">
                <a:contourClr>
                  <a:schemeClr val="accent5">
                    <a:lumMod val="70000"/>
                    <a:lumOff val="30000"/>
                    <a:lumMod val="75000"/>
                  </a:schemeClr>
                </a:contourClr>
              </a:sp3d>
            </c:spPr>
            <c:extLst>
              <c:ext xmlns:c16="http://schemas.microsoft.com/office/drawing/2014/chart" uri="{C3380CC4-5D6E-409C-BE32-E72D297353CC}">
                <c16:uniqueId val="{00000051-3866-0D4D-BB6B-71AF7F2926C7}"/>
              </c:ext>
            </c:extLst>
          </c:dPt>
          <c:dPt>
            <c:idx val="41"/>
            <c:bubble3D val="0"/>
            <c:spPr>
              <a:solidFill>
                <a:schemeClr val="accent6">
                  <a:lumMod val="70000"/>
                  <a:lumOff val="30000"/>
                  <a:alpha val="90000"/>
                </a:schemeClr>
              </a:solidFill>
              <a:ln w="19050">
                <a:solidFill>
                  <a:schemeClr val="accent6">
                    <a:lumMod val="70000"/>
                    <a:lumOff val="30000"/>
                    <a:lumMod val="75000"/>
                  </a:schemeClr>
                </a:solidFill>
              </a:ln>
              <a:effectLst>
                <a:innerShdw blurRad="114300">
                  <a:schemeClr val="accent6">
                    <a:lumMod val="70000"/>
                    <a:lumOff val="30000"/>
                    <a:lumMod val="75000"/>
                  </a:schemeClr>
                </a:innerShdw>
              </a:effectLst>
              <a:scene3d>
                <a:camera prst="orthographicFront"/>
                <a:lightRig rig="threePt" dir="t"/>
              </a:scene3d>
              <a:sp3d contourW="19050" prstMaterial="flat">
                <a:contourClr>
                  <a:schemeClr val="accent6">
                    <a:lumMod val="70000"/>
                    <a:lumOff val="30000"/>
                    <a:lumMod val="75000"/>
                  </a:schemeClr>
                </a:contourClr>
              </a:sp3d>
            </c:spPr>
            <c:extLst>
              <c:ext xmlns:c16="http://schemas.microsoft.com/office/drawing/2014/chart" uri="{C3380CC4-5D6E-409C-BE32-E72D297353CC}">
                <c16:uniqueId val="{00000053-3866-0D4D-BB6B-71AF7F2926C7}"/>
              </c:ext>
            </c:extLst>
          </c:dPt>
          <c:dPt>
            <c:idx val="42"/>
            <c:bubble3D val="0"/>
            <c:spPr>
              <a:solidFill>
                <a:schemeClr val="accent1">
                  <a:lumMod val="70000"/>
                  <a:alpha val="90000"/>
                </a:schemeClr>
              </a:solidFill>
              <a:ln w="19050">
                <a:solidFill>
                  <a:schemeClr val="accent1">
                    <a:lumMod val="70000"/>
                    <a:lumMod val="75000"/>
                  </a:schemeClr>
                </a:solidFill>
              </a:ln>
              <a:effectLst>
                <a:innerShdw blurRad="114300">
                  <a:schemeClr val="accent1">
                    <a:lumMod val="70000"/>
                    <a:lumMod val="75000"/>
                  </a:schemeClr>
                </a:innerShdw>
              </a:effectLst>
              <a:scene3d>
                <a:camera prst="orthographicFront"/>
                <a:lightRig rig="threePt" dir="t"/>
              </a:scene3d>
              <a:sp3d contourW="19050" prstMaterial="flat">
                <a:contourClr>
                  <a:schemeClr val="accent1">
                    <a:lumMod val="70000"/>
                    <a:lumMod val="75000"/>
                  </a:schemeClr>
                </a:contourClr>
              </a:sp3d>
            </c:spPr>
            <c:extLst>
              <c:ext xmlns:c16="http://schemas.microsoft.com/office/drawing/2014/chart" uri="{C3380CC4-5D6E-409C-BE32-E72D297353CC}">
                <c16:uniqueId val="{00000055-3866-0D4D-BB6B-71AF7F2926C7}"/>
              </c:ext>
            </c:extLst>
          </c:dPt>
          <c:dPt>
            <c:idx val="43"/>
            <c:bubble3D val="0"/>
            <c:spPr>
              <a:solidFill>
                <a:schemeClr val="accent2">
                  <a:lumMod val="70000"/>
                  <a:alpha val="90000"/>
                </a:schemeClr>
              </a:solidFill>
              <a:ln w="19050">
                <a:solidFill>
                  <a:schemeClr val="accent2">
                    <a:lumMod val="70000"/>
                    <a:lumMod val="75000"/>
                  </a:schemeClr>
                </a:solidFill>
              </a:ln>
              <a:effectLst>
                <a:innerShdw blurRad="114300">
                  <a:schemeClr val="accent2">
                    <a:lumMod val="70000"/>
                    <a:lumMod val="75000"/>
                  </a:schemeClr>
                </a:innerShdw>
              </a:effectLst>
              <a:scene3d>
                <a:camera prst="orthographicFront"/>
                <a:lightRig rig="threePt" dir="t"/>
              </a:scene3d>
              <a:sp3d contourW="19050" prstMaterial="flat">
                <a:contourClr>
                  <a:schemeClr val="accent2">
                    <a:lumMod val="70000"/>
                    <a:lumMod val="75000"/>
                  </a:schemeClr>
                </a:contourClr>
              </a:sp3d>
            </c:spPr>
            <c:extLst>
              <c:ext xmlns:c16="http://schemas.microsoft.com/office/drawing/2014/chart" uri="{C3380CC4-5D6E-409C-BE32-E72D297353CC}">
                <c16:uniqueId val="{00000057-3866-0D4D-BB6B-71AF7F2926C7}"/>
              </c:ext>
            </c:extLst>
          </c:dPt>
          <c:dPt>
            <c:idx val="44"/>
            <c:bubble3D val="0"/>
            <c:spPr>
              <a:solidFill>
                <a:schemeClr val="accent3">
                  <a:lumMod val="70000"/>
                  <a:alpha val="90000"/>
                </a:schemeClr>
              </a:solidFill>
              <a:ln w="19050">
                <a:solidFill>
                  <a:schemeClr val="accent3">
                    <a:lumMod val="70000"/>
                    <a:lumMod val="75000"/>
                  </a:schemeClr>
                </a:solidFill>
              </a:ln>
              <a:effectLst>
                <a:innerShdw blurRad="114300">
                  <a:schemeClr val="accent3">
                    <a:lumMod val="70000"/>
                    <a:lumMod val="75000"/>
                  </a:schemeClr>
                </a:innerShdw>
              </a:effectLst>
              <a:scene3d>
                <a:camera prst="orthographicFront"/>
                <a:lightRig rig="threePt" dir="t"/>
              </a:scene3d>
              <a:sp3d contourW="19050" prstMaterial="flat">
                <a:contourClr>
                  <a:schemeClr val="accent3">
                    <a:lumMod val="70000"/>
                    <a:lumMod val="75000"/>
                  </a:schemeClr>
                </a:contourClr>
              </a:sp3d>
            </c:spPr>
            <c:extLst>
              <c:ext xmlns:c16="http://schemas.microsoft.com/office/drawing/2014/chart" uri="{C3380CC4-5D6E-409C-BE32-E72D297353CC}">
                <c16:uniqueId val="{00000059-3866-0D4D-BB6B-71AF7F2926C7}"/>
              </c:ext>
            </c:extLst>
          </c:dPt>
          <c:dPt>
            <c:idx val="45"/>
            <c:bubble3D val="0"/>
            <c:spPr>
              <a:solidFill>
                <a:schemeClr val="accent4">
                  <a:lumMod val="70000"/>
                  <a:alpha val="90000"/>
                </a:schemeClr>
              </a:solidFill>
              <a:ln w="19050">
                <a:solidFill>
                  <a:schemeClr val="accent4">
                    <a:lumMod val="70000"/>
                    <a:lumMod val="75000"/>
                  </a:schemeClr>
                </a:solidFill>
              </a:ln>
              <a:effectLst>
                <a:innerShdw blurRad="114300">
                  <a:schemeClr val="accent4">
                    <a:lumMod val="70000"/>
                    <a:lumMod val="75000"/>
                  </a:schemeClr>
                </a:innerShdw>
              </a:effectLst>
              <a:scene3d>
                <a:camera prst="orthographicFront"/>
                <a:lightRig rig="threePt" dir="t"/>
              </a:scene3d>
              <a:sp3d contourW="19050" prstMaterial="flat">
                <a:contourClr>
                  <a:schemeClr val="accent4">
                    <a:lumMod val="70000"/>
                    <a:lumMod val="75000"/>
                  </a:schemeClr>
                </a:contourClr>
              </a:sp3d>
            </c:spPr>
            <c:extLst>
              <c:ext xmlns:c16="http://schemas.microsoft.com/office/drawing/2014/chart" uri="{C3380CC4-5D6E-409C-BE32-E72D297353CC}">
                <c16:uniqueId val="{0000005B-3866-0D4D-BB6B-71AF7F2926C7}"/>
              </c:ext>
            </c:extLst>
          </c:dPt>
          <c:dPt>
            <c:idx val="46"/>
            <c:bubble3D val="0"/>
            <c:spPr>
              <a:solidFill>
                <a:schemeClr val="accent5">
                  <a:lumMod val="70000"/>
                  <a:alpha val="90000"/>
                </a:schemeClr>
              </a:solidFill>
              <a:ln w="19050">
                <a:solidFill>
                  <a:schemeClr val="accent5">
                    <a:lumMod val="70000"/>
                    <a:lumMod val="75000"/>
                  </a:schemeClr>
                </a:solidFill>
              </a:ln>
              <a:effectLst>
                <a:innerShdw blurRad="114300">
                  <a:schemeClr val="accent5">
                    <a:lumMod val="70000"/>
                    <a:lumMod val="75000"/>
                  </a:schemeClr>
                </a:innerShdw>
              </a:effectLst>
              <a:scene3d>
                <a:camera prst="orthographicFront"/>
                <a:lightRig rig="threePt" dir="t"/>
              </a:scene3d>
              <a:sp3d contourW="19050" prstMaterial="flat">
                <a:contourClr>
                  <a:schemeClr val="accent5">
                    <a:lumMod val="70000"/>
                    <a:lumMod val="75000"/>
                  </a:schemeClr>
                </a:contourClr>
              </a:sp3d>
            </c:spPr>
            <c:extLst>
              <c:ext xmlns:c16="http://schemas.microsoft.com/office/drawing/2014/chart" uri="{C3380CC4-5D6E-409C-BE32-E72D297353CC}">
                <c16:uniqueId val="{0000005D-3866-0D4D-BB6B-71AF7F2926C7}"/>
              </c:ext>
            </c:extLst>
          </c:dPt>
          <c:dPt>
            <c:idx val="47"/>
            <c:bubble3D val="0"/>
            <c:spPr>
              <a:solidFill>
                <a:schemeClr val="accent6">
                  <a:lumMod val="70000"/>
                  <a:alpha val="90000"/>
                </a:schemeClr>
              </a:solidFill>
              <a:ln w="19050">
                <a:solidFill>
                  <a:schemeClr val="accent6">
                    <a:lumMod val="70000"/>
                    <a:lumMod val="75000"/>
                  </a:schemeClr>
                </a:solidFill>
              </a:ln>
              <a:effectLst>
                <a:innerShdw blurRad="114300">
                  <a:schemeClr val="accent6">
                    <a:lumMod val="70000"/>
                    <a:lumMod val="75000"/>
                  </a:schemeClr>
                </a:innerShdw>
              </a:effectLst>
              <a:scene3d>
                <a:camera prst="orthographicFront"/>
                <a:lightRig rig="threePt" dir="t"/>
              </a:scene3d>
              <a:sp3d contourW="19050" prstMaterial="flat">
                <a:contourClr>
                  <a:schemeClr val="accent6">
                    <a:lumMod val="70000"/>
                    <a:lumMod val="75000"/>
                  </a:schemeClr>
                </a:contourClr>
              </a:sp3d>
            </c:spPr>
            <c:extLst>
              <c:ext xmlns:c16="http://schemas.microsoft.com/office/drawing/2014/chart" uri="{C3380CC4-5D6E-409C-BE32-E72D297353CC}">
                <c16:uniqueId val="{0000005F-3866-0D4D-BB6B-71AF7F2926C7}"/>
              </c:ext>
            </c:extLst>
          </c:dPt>
          <c:dPt>
            <c:idx val="48"/>
            <c:bubble3D val="0"/>
            <c:spPr>
              <a:solidFill>
                <a:schemeClr val="accent1">
                  <a:lumMod val="50000"/>
                  <a:lumOff val="50000"/>
                  <a:alpha val="90000"/>
                </a:schemeClr>
              </a:solidFill>
              <a:ln w="19050">
                <a:solidFill>
                  <a:schemeClr val="accent1">
                    <a:lumMod val="50000"/>
                    <a:lumOff val="50000"/>
                    <a:lumMod val="75000"/>
                  </a:schemeClr>
                </a:solidFill>
              </a:ln>
              <a:effectLst>
                <a:innerShdw blurRad="114300">
                  <a:schemeClr val="accent1">
                    <a:lumMod val="50000"/>
                    <a:lumOff val="50000"/>
                    <a:lumMod val="75000"/>
                  </a:schemeClr>
                </a:innerShdw>
              </a:effectLst>
              <a:scene3d>
                <a:camera prst="orthographicFront"/>
                <a:lightRig rig="threePt" dir="t"/>
              </a:scene3d>
              <a:sp3d contourW="19050" prstMaterial="flat">
                <a:contourClr>
                  <a:schemeClr val="accent1">
                    <a:lumMod val="50000"/>
                    <a:lumOff val="50000"/>
                    <a:lumMod val="75000"/>
                  </a:schemeClr>
                </a:contourClr>
              </a:sp3d>
            </c:spPr>
            <c:extLst>
              <c:ext xmlns:c16="http://schemas.microsoft.com/office/drawing/2014/chart" uri="{C3380CC4-5D6E-409C-BE32-E72D297353CC}">
                <c16:uniqueId val="{00000061-3866-0D4D-BB6B-71AF7F2926C7}"/>
              </c:ext>
            </c:extLst>
          </c:dPt>
          <c:dPt>
            <c:idx val="49"/>
            <c:bubble3D val="0"/>
            <c:spPr>
              <a:solidFill>
                <a:schemeClr val="accent2">
                  <a:lumMod val="50000"/>
                  <a:lumOff val="50000"/>
                  <a:alpha val="90000"/>
                </a:schemeClr>
              </a:solidFill>
              <a:ln w="19050">
                <a:solidFill>
                  <a:schemeClr val="accent2">
                    <a:lumMod val="50000"/>
                    <a:lumOff val="50000"/>
                    <a:lumMod val="75000"/>
                  </a:schemeClr>
                </a:solidFill>
              </a:ln>
              <a:effectLst>
                <a:innerShdw blurRad="114300">
                  <a:schemeClr val="accent2">
                    <a:lumMod val="50000"/>
                    <a:lumOff val="50000"/>
                    <a:lumMod val="75000"/>
                  </a:schemeClr>
                </a:innerShdw>
              </a:effectLst>
              <a:scene3d>
                <a:camera prst="orthographicFront"/>
                <a:lightRig rig="threePt" dir="t"/>
              </a:scene3d>
              <a:sp3d contourW="19050" prstMaterial="flat">
                <a:contourClr>
                  <a:schemeClr val="accent2">
                    <a:lumMod val="50000"/>
                    <a:lumOff val="50000"/>
                    <a:lumMod val="75000"/>
                  </a:schemeClr>
                </a:contourClr>
              </a:sp3d>
            </c:spPr>
            <c:extLst>
              <c:ext xmlns:c16="http://schemas.microsoft.com/office/drawing/2014/chart" uri="{C3380CC4-5D6E-409C-BE32-E72D297353CC}">
                <c16:uniqueId val="{00000063-3866-0D4D-BB6B-71AF7F2926C7}"/>
              </c:ext>
            </c:extLst>
          </c:dPt>
          <c:dPt>
            <c:idx val="50"/>
            <c:bubble3D val="0"/>
            <c:spPr>
              <a:solidFill>
                <a:schemeClr val="accent3">
                  <a:lumMod val="50000"/>
                  <a:lumOff val="50000"/>
                  <a:alpha val="90000"/>
                </a:schemeClr>
              </a:solidFill>
              <a:ln w="19050">
                <a:solidFill>
                  <a:schemeClr val="accent3">
                    <a:lumMod val="50000"/>
                    <a:lumOff val="50000"/>
                    <a:lumMod val="75000"/>
                  </a:schemeClr>
                </a:solidFill>
              </a:ln>
              <a:effectLst>
                <a:innerShdw blurRad="114300">
                  <a:schemeClr val="accent3">
                    <a:lumMod val="50000"/>
                    <a:lumOff val="50000"/>
                    <a:lumMod val="75000"/>
                  </a:schemeClr>
                </a:innerShdw>
              </a:effectLst>
              <a:scene3d>
                <a:camera prst="orthographicFront"/>
                <a:lightRig rig="threePt" dir="t"/>
              </a:scene3d>
              <a:sp3d contourW="19050" prstMaterial="flat">
                <a:contourClr>
                  <a:schemeClr val="accent3">
                    <a:lumMod val="50000"/>
                    <a:lumOff val="50000"/>
                    <a:lumMod val="75000"/>
                  </a:schemeClr>
                </a:contourClr>
              </a:sp3d>
            </c:spPr>
            <c:extLst>
              <c:ext xmlns:c16="http://schemas.microsoft.com/office/drawing/2014/chart" uri="{C3380CC4-5D6E-409C-BE32-E72D297353CC}">
                <c16:uniqueId val="{00000065-3866-0D4D-BB6B-71AF7F2926C7}"/>
              </c:ext>
            </c:extLst>
          </c:dPt>
          <c:dPt>
            <c:idx val="51"/>
            <c:bubble3D val="0"/>
            <c:spPr>
              <a:solidFill>
                <a:schemeClr val="accent4">
                  <a:lumMod val="50000"/>
                  <a:lumOff val="50000"/>
                  <a:alpha val="90000"/>
                </a:schemeClr>
              </a:solidFill>
              <a:ln w="19050">
                <a:solidFill>
                  <a:schemeClr val="accent4">
                    <a:lumMod val="50000"/>
                    <a:lumOff val="50000"/>
                    <a:lumMod val="75000"/>
                  </a:schemeClr>
                </a:solidFill>
              </a:ln>
              <a:effectLst>
                <a:innerShdw blurRad="114300">
                  <a:schemeClr val="accent4">
                    <a:lumMod val="50000"/>
                    <a:lumOff val="50000"/>
                    <a:lumMod val="75000"/>
                  </a:schemeClr>
                </a:innerShdw>
              </a:effectLst>
              <a:scene3d>
                <a:camera prst="orthographicFront"/>
                <a:lightRig rig="threePt" dir="t"/>
              </a:scene3d>
              <a:sp3d contourW="19050" prstMaterial="flat">
                <a:contourClr>
                  <a:schemeClr val="accent4">
                    <a:lumMod val="50000"/>
                    <a:lumOff val="50000"/>
                    <a:lumMod val="75000"/>
                  </a:schemeClr>
                </a:contourClr>
              </a:sp3d>
            </c:spPr>
            <c:extLst>
              <c:ext xmlns:c16="http://schemas.microsoft.com/office/drawing/2014/chart" uri="{C3380CC4-5D6E-409C-BE32-E72D297353CC}">
                <c16:uniqueId val="{00000067-3866-0D4D-BB6B-71AF7F2926C7}"/>
              </c:ext>
            </c:extLst>
          </c:dPt>
          <c:dPt>
            <c:idx val="52"/>
            <c:bubble3D val="0"/>
            <c:spPr>
              <a:solidFill>
                <a:schemeClr val="accent5">
                  <a:lumMod val="50000"/>
                  <a:lumOff val="50000"/>
                  <a:alpha val="90000"/>
                </a:schemeClr>
              </a:solidFill>
              <a:ln w="19050">
                <a:solidFill>
                  <a:schemeClr val="accent5">
                    <a:lumMod val="50000"/>
                    <a:lumOff val="50000"/>
                    <a:lumMod val="75000"/>
                  </a:schemeClr>
                </a:solidFill>
              </a:ln>
              <a:effectLst>
                <a:innerShdw blurRad="114300">
                  <a:schemeClr val="accent5">
                    <a:lumMod val="50000"/>
                    <a:lumOff val="50000"/>
                    <a:lumMod val="75000"/>
                  </a:schemeClr>
                </a:innerShdw>
              </a:effectLst>
              <a:scene3d>
                <a:camera prst="orthographicFront"/>
                <a:lightRig rig="threePt" dir="t"/>
              </a:scene3d>
              <a:sp3d contourW="19050" prstMaterial="flat">
                <a:contourClr>
                  <a:schemeClr val="accent5">
                    <a:lumMod val="50000"/>
                    <a:lumOff val="50000"/>
                    <a:lumMod val="75000"/>
                  </a:schemeClr>
                </a:contourClr>
              </a:sp3d>
            </c:spPr>
            <c:extLst>
              <c:ext xmlns:c16="http://schemas.microsoft.com/office/drawing/2014/chart" uri="{C3380CC4-5D6E-409C-BE32-E72D297353CC}">
                <c16:uniqueId val="{00000069-3866-0D4D-BB6B-71AF7F2926C7}"/>
              </c:ext>
            </c:extLst>
          </c:dPt>
          <c:dPt>
            <c:idx val="53"/>
            <c:bubble3D val="0"/>
            <c:spPr>
              <a:solidFill>
                <a:schemeClr val="accent6">
                  <a:lumMod val="50000"/>
                  <a:lumOff val="50000"/>
                  <a:alpha val="90000"/>
                </a:schemeClr>
              </a:solidFill>
              <a:ln w="19050">
                <a:solidFill>
                  <a:schemeClr val="accent6">
                    <a:lumMod val="50000"/>
                    <a:lumOff val="50000"/>
                    <a:lumMod val="75000"/>
                  </a:schemeClr>
                </a:solidFill>
              </a:ln>
              <a:effectLst>
                <a:innerShdw blurRad="114300">
                  <a:schemeClr val="accent6">
                    <a:lumMod val="50000"/>
                    <a:lumOff val="50000"/>
                    <a:lumMod val="75000"/>
                  </a:schemeClr>
                </a:innerShdw>
              </a:effectLst>
              <a:scene3d>
                <a:camera prst="orthographicFront"/>
                <a:lightRig rig="threePt" dir="t"/>
              </a:scene3d>
              <a:sp3d contourW="19050" prstMaterial="flat">
                <a:contourClr>
                  <a:schemeClr val="accent6">
                    <a:lumMod val="50000"/>
                    <a:lumOff val="50000"/>
                    <a:lumMod val="75000"/>
                  </a:schemeClr>
                </a:contourClr>
              </a:sp3d>
            </c:spPr>
            <c:extLst>
              <c:ext xmlns:c16="http://schemas.microsoft.com/office/drawing/2014/chart" uri="{C3380CC4-5D6E-409C-BE32-E72D297353CC}">
                <c16:uniqueId val="{0000006B-3866-0D4D-BB6B-71AF7F2926C7}"/>
              </c:ext>
            </c:extLst>
          </c:dPt>
          <c:dPt>
            <c:idx val="54"/>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6D-3866-0D4D-BB6B-71AF7F2926C7}"/>
              </c:ext>
            </c:extLst>
          </c:dPt>
          <c:dPt>
            <c:idx val="55"/>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6F-3866-0D4D-BB6B-71AF7F2926C7}"/>
              </c:ext>
            </c:extLst>
          </c:dPt>
          <c:dPt>
            <c:idx val="56"/>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71-3866-0D4D-BB6B-71AF7F2926C7}"/>
              </c:ext>
            </c:extLst>
          </c:dPt>
          <c:dPt>
            <c:idx val="57"/>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73-3866-0D4D-BB6B-71AF7F2926C7}"/>
              </c:ext>
            </c:extLst>
          </c:dPt>
          <c:dPt>
            <c:idx val="58"/>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75-3866-0D4D-BB6B-71AF7F2926C7}"/>
              </c:ext>
            </c:extLst>
          </c:dPt>
          <c:dPt>
            <c:idx val="59"/>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77-3866-0D4D-BB6B-71AF7F2926C7}"/>
              </c:ext>
            </c:extLst>
          </c:dPt>
          <c:dPt>
            <c:idx val="60"/>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79-3866-0D4D-BB6B-71AF7F2926C7}"/>
              </c:ext>
            </c:extLst>
          </c:dPt>
          <c:dPt>
            <c:idx val="61"/>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7B-3866-0D4D-BB6B-71AF7F2926C7}"/>
              </c:ext>
            </c:extLst>
          </c:dPt>
          <c:dPt>
            <c:idx val="62"/>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7D-3866-0D4D-BB6B-71AF7F2926C7}"/>
              </c:ext>
            </c:extLst>
          </c:dPt>
          <c:dPt>
            <c:idx val="63"/>
            <c:bubble3D val="0"/>
            <c:spPr>
              <a:solidFill>
                <a:schemeClr val="accent4">
                  <a:lumMod val="6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7F-3866-0D4D-BB6B-71AF7F2926C7}"/>
              </c:ext>
            </c:extLst>
          </c:dPt>
          <c:dPt>
            <c:idx val="64"/>
            <c:bubble3D val="0"/>
            <c:spPr>
              <a:solidFill>
                <a:schemeClr val="accent5">
                  <a:lumMod val="60000"/>
                  <a:alpha val="90000"/>
                </a:schemeClr>
              </a:solidFill>
              <a:ln w="19050">
                <a:solidFill>
                  <a:schemeClr val="accent5">
                    <a:lumMod val="60000"/>
                    <a:lumMod val="75000"/>
                  </a:schemeClr>
                </a:solidFill>
              </a:ln>
              <a:effectLst>
                <a:innerShdw blurRad="114300">
                  <a:schemeClr val="accent5">
                    <a:lumMod val="60000"/>
                    <a:lumMod val="75000"/>
                  </a:schemeClr>
                </a:innerShdw>
              </a:effectLst>
              <a:scene3d>
                <a:camera prst="orthographicFront"/>
                <a:lightRig rig="threePt" dir="t"/>
              </a:scene3d>
              <a:sp3d contourW="19050" prstMaterial="flat">
                <a:contourClr>
                  <a:schemeClr val="accent5">
                    <a:lumMod val="60000"/>
                    <a:lumMod val="75000"/>
                  </a:schemeClr>
                </a:contourClr>
              </a:sp3d>
            </c:spPr>
            <c:extLst>
              <c:ext xmlns:c16="http://schemas.microsoft.com/office/drawing/2014/chart" uri="{C3380CC4-5D6E-409C-BE32-E72D297353CC}">
                <c16:uniqueId val="{00000081-3866-0D4D-BB6B-71AF7F2926C7}"/>
              </c:ext>
            </c:extLst>
          </c:dPt>
          <c:dPt>
            <c:idx val="65"/>
            <c:bubble3D val="0"/>
            <c:spPr>
              <a:solidFill>
                <a:schemeClr val="accent6">
                  <a:lumMod val="60000"/>
                  <a:alpha val="90000"/>
                </a:schemeClr>
              </a:solidFill>
              <a:ln w="19050">
                <a:solidFill>
                  <a:schemeClr val="accent6">
                    <a:lumMod val="60000"/>
                    <a:lumMod val="75000"/>
                  </a:schemeClr>
                </a:solidFill>
              </a:ln>
              <a:effectLst>
                <a:innerShdw blurRad="114300">
                  <a:schemeClr val="accent6">
                    <a:lumMod val="60000"/>
                    <a:lumMod val="75000"/>
                  </a:schemeClr>
                </a:innerShdw>
              </a:effectLst>
              <a:scene3d>
                <a:camera prst="orthographicFront"/>
                <a:lightRig rig="threePt" dir="t"/>
              </a:scene3d>
              <a:sp3d contourW="19050" prstMaterial="flat">
                <a:contourClr>
                  <a:schemeClr val="accent6">
                    <a:lumMod val="60000"/>
                    <a:lumMod val="75000"/>
                  </a:schemeClr>
                </a:contourClr>
              </a:sp3d>
            </c:spPr>
            <c:extLst>
              <c:ext xmlns:c16="http://schemas.microsoft.com/office/drawing/2014/chart" uri="{C3380CC4-5D6E-409C-BE32-E72D297353CC}">
                <c16:uniqueId val="{00000083-3866-0D4D-BB6B-71AF7F2926C7}"/>
              </c:ext>
            </c:extLst>
          </c:dPt>
          <c:dPt>
            <c:idx val="66"/>
            <c:bubble3D val="0"/>
            <c:spPr>
              <a:solidFill>
                <a:schemeClr val="accent1">
                  <a:lumMod val="80000"/>
                  <a:lumOff val="20000"/>
                  <a:alpha val="90000"/>
                </a:schemeClr>
              </a:solidFill>
              <a:ln w="19050">
                <a:solidFill>
                  <a:schemeClr val="accent1">
                    <a:lumMod val="80000"/>
                    <a:lumOff val="20000"/>
                    <a:lumMod val="75000"/>
                  </a:schemeClr>
                </a:solidFill>
              </a:ln>
              <a:effectLst>
                <a:innerShdw blurRad="114300">
                  <a:schemeClr val="accent1">
                    <a:lumMod val="80000"/>
                    <a:lumOff val="20000"/>
                    <a:lumMod val="75000"/>
                  </a:schemeClr>
                </a:innerShdw>
              </a:effectLst>
              <a:scene3d>
                <a:camera prst="orthographicFront"/>
                <a:lightRig rig="threePt" dir="t"/>
              </a:scene3d>
              <a:sp3d contourW="19050" prstMaterial="flat">
                <a:contourClr>
                  <a:schemeClr val="accent1">
                    <a:lumMod val="80000"/>
                    <a:lumOff val="20000"/>
                    <a:lumMod val="75000"/>
                  </a:schemeClr>
                </a:contourClr>
              </a:sp3d>
            </c:spPr>
            <c:extLst>
              <c:ext xmlns:c16="http://schemas.microsoft.com/office/drawing/2014/chart" uri="{C3380CC4-5D6E-409C-BE32-E72D297353CC}">
                <c16:uniqueId val="{00000085-3866-0D4D-BB6B-71AF7F2926C7}"/>
              </c:ext>
            </c:extLst>
          </c:dPt>
          <c:dPt>
            <c:idx val="67"/>
            <c:bubble3D val="0"/>
            <c:spPr>
              <a:solidFill>
                <a:schemeClr val="accent2">
                  <a:lumMod val="80000"/>
                  <a:lumOff val="20000"/>
                  <a:alpha val="90000"/>
                </a:schemeClr>
              </a:solidFill>
              <a:ln w="19050">
                <a:solidFill>
                  <a:schemeClr val="accent2">
                    <a:lumMod val="80000"/>
                    <a:lumOff val="20000"/>
                    <a:lumMod val="75000"/>
                  </a:schemeClr>
                </a:solidFill>
              </a:ln>
              <a:effectLst>
                <a:innerShdw blurRad="114300">
                  <a:schemeClr val="accent2">
                    <a:lumMod val="80000"/>
                    <a:lumOff val="20000"/>
                    <a:lumMod val="75000"/>
                  </a:schemeClr>
                </a:innerShdw>
              </a:effectLst>
              <a:scene3d>
                <a:camera prst="orthographicFront"/>
                <a:lightRig rig="threePt" dir="t"/>
              </a:scene3d>
              <a:sp3d contourW="19050" prstMaterial="flat">
                <a:contourClr>
                  <a:schemeClr val="accent2">
                    <a:lumMod val="80000"/>
                    <a:lumOff val="20000"/>
                    <a:lumMod val="75000"/>
                  </a:schemeClr>
                </a:contourClr>
              </a:sp3d>
            </c:spPr>
            <c:extLst>
              <c:ext xmlns:c16="http://schemas.microsoft.com/office/drawing/2014/chart" uri="{C3380CC4-5D6E-409C-BE32-E72D297353CC}">
                <c16:uniqueId val="{00000087-3866-0D4D-BB6B-71AF7F2926C7}"/>
              </c:ext>
            </c:extLst>
          </c:dPt>
          <c:dPt>
            <c:idx val="68"/>
            <c:bubble3D val="0"/>
            <c:spPr>
              <a:solidFill>
                <a:schemeClr val="accent3">
                  <a:lumMod val="80000"/>
                  <a:lumOff val="20000"/>
                  <a:alpha val="90000"/>
                </a:schemeClr>
              </a:solidFill>
              <a:ln w="19050">
                <a:solidFill>
                  <a:schemeClr val="accent3">
                    <a:lumMod val="80000"/>
                    <a:lumOff val="20000"/>
                    <a:lumMod val="75000"/>
                  </a:schemeClr>
                </a:solidFill>
              </a:ln>
              <a:effectLst>
                <a:innerShdw blurRad="114300">
                  <a:schemeClr val="accent3">
                    <a:lumMod val="80000"/>
                    <a:lumOff val="20000"/>
                    <a:lumMod val="75000"/>
                  </a:schemeClr>
                </a:innerShdw>
              </a:effectLst>
              <a:scene3d>
                <a:camera prst="orthographicFront"/>
                <a:lightRig rig="threePt" dir="t"/>
              </a:scene3d>
              <a:sp3d contourW="19050" prstMaterial="flat">
                <a:contourClr>
                  <a:schemeClr val="accent3">
                    <a:lumMod val="80000"/>
                    <a:lumOff val="20000"/>
                    <a:lumMod val="75000"/>
                  </a:schemeClr>
                </a:contourClr>
              </a:sp3d>
            </c:spPr>
            <c:extLst>
              <c:ext xmlns:c16="http://schemas.microsoft.com/office/drawing/2014/chart" uri="{C3380CC4-5D6E-409C-BE32-E72D297353CC}">
                <c16:uniqueId val="{00000089-3866-0D4D-BB6B-71AF7F2926C7}"/>
              </c:ext>
            </c:extLst>
          </c:dPt>
          <c:dPt>
            <c:idx val="69"/>
            <c:bubble3D val="0"/>
            <c:spPr>
              <a:solidFill>
                <a:schemeClr val="accent4">
                  <a:lumMod val="80000"/>
                  <a:lumOff val="20000"/>
                  <a:alpha val="90000"/>
                </a:schemeClr>
              </a:solidFill>
              <a:ln w="19050">
                <a:solidFill>
                  <a:schemeClr val="accent4">
                    <a:lumMod val="80000"/>
                    <a:lumOff val="20000"/>
                    <a:lumMod val="75000"/>
                  </a:schemeClr>
                </a:solidFill>
              </a:ln>
              <a:effectLst>
                <a:innerShdw blurRad="114300">
                  <a:schemeClr val="accent4">
                    <a:lumMod val="80000"/>
                    <a:lumOff val="20000"/>
                    <a:lumMod val="75000"/>
                  </a:schemeClr>
                </a:innerShdw>
              </a:effectLst>
              <a:scene3d>
                <a:camera prst="orthographicFront"/>
                <a:lightRig rig="threePt" dir="t"/>
              </a:scene3d>
              <a:sp3d contourW="19050" prstMaterial="flat">
                <a:contourClr>
                  <a:schemeClr val="accent4">
                    <a:lumMod val="80000"/>
                    <a:lumOff val="20000"/>
                    <a:lumMod val="75000"/>
                  </a:schemeClr>
                </a:contourClr>
              </a:sp3d>
            </c:spPr>
            <c:extLst>
              <c:ext xmlns:c16="http://schemas.microsoft.com/office/drawing/2014/chart" uri="{C3380CC4-5D6E-409C-BE32-E72D297353CC}">
                <c16:uniqueId val="{0000008B-3866-0D4D-BB6B-71AF7F2926C7}"/>
              </c:ext>
            </c:extLst>
          </c:dPt>
          <c:dPt>
            <c:idx val="70"/>
            <c:bubble3D val="0"/>
            <c:spPr>
              <a:solidFill>
                <a:schemeClr val="accent5">
                  <a:lumMod val="80000"/>
                  <a:lumOff val="20000"/>
                  <a:alpha val="90000"/>
                </a:schemeClr>
              </a:solidFill>
              <a:ln w="19050">
                <a:solidFill>
                  <a:schemeClr val="accent5">
                    <a:lumMod val="80000"/>
                    <a:lumOff val="20000"/>
                    <a:lumMod val="75000"/>
                  </a:schemeClr>
                </a:solidFill>
              </a:ln>
              <a:effectLst>
                <a:innerShdw blurRad="114300">
                  <a:schemeClr val="accent5">
                    <a:lumMod val="80000"/>
                    <a:lumOff val="20000"/>
                    <a:lumMod val="75000"/>
                  </a:schemeClr>
                </a:innerShdw>
              </a:effectLst>
              <a:scene3d>
                <a:camera prst="orthographicFront"/>
                <a:lightRig rig="threePt" dir="t"/>
              </a:scene3d>
              <a:sp3d contourW="19050" prstMaterial="flat">
                <a:contourClr>
                  <a:schemeClr val="accent5">
                    <a:lumMod val="80000"/>
                    <a:lumOff val="20000"/>
                    <a:lumMod val="75000"/>
                  </a:schemeClr>
                </a:contourClr>
              </a:sp3d>
            </c:spPr>
            <c:extLst>
              <c:ext xmlns:c16="http://schemas.microsoft.com/office/drawing/2014/chart" uri="{C3380CC4-5D6E-409C-BE32-E72D297353CC}">
                <c16:uniqueId val="{0000008D-3866-0D4D-BB6B-71AF7F2926C7}"/>
              </c:ext>
            </c:extLst>
          </c:dPt>
          <c:dPt>
            <c:idx val="71"/>
            <c:bubble3D val="0"/>
            <c:spPr>
              <a:solidFill>
                <a:schemeClr val="accent6">
                  <a:lumMod val="80000"/>
                  <a:lumOff val="20000"/>
                  <a:alpha val="90000"/>
                </a:schemeClr>
              </a:solidFill>
              <a:ln w="19050">
                <a:solidFill>
                  <a:schemeClr val="accent6">
                    <a:lumMod val="80000"/>
                    <a:lumOff val="20000"/>
                    <a:lumMod val="75000"/>
                  </a:schemeClr>
                </a:solidFill>
              </a:ln>
              <a:effectLst>
                <a:innerShdw blurRad="114300">
                  <a:schemeClr val="accent6">
                    <a:lumMod val="80000"/>
                    <a:lumOff val="20000"/>
                    <a:lumMod val="75000"/>
                  </a:schemeClr>
                </a:innerShdw>
              </a:effectLst>
              <a:scene3d>
                <a:camera prst="orthographicFront"/>
                <a:lightRig rig="threePt" dir="t"/>
              </a:scene3d>
              <a:sp3d contourW="19050" prstMaterial="flat">
                <a:contourClr>
                  <a:schemeClr val="accent6">
                    <a:lumMod val="80000"/>
                    <a:lumOff val="20000"/>
                    <a:lumMod val="75000"/>
                  </a:schemeClr>
                </a:contourClr>
              </a:sp3d>
            </c:spPr>
            <c:extLst>
              <c:ext xmlns:c16="http://schemas.microsoft.com/office/drawing/2014/chart" uri="{C3380CC4-5D6E-409C-BE32-E72D297353CC}">
                <c16:uniqueId val="{0000008F-3866-0D4D-BB6B-71AF7F2926C7}"/>
              </c:ext>
            </c:extLst>
          </c:dPt>
          <c:dPt>
            <c:idx val="72"/>
            <c:bubble3D val="0"/>
            <c:spPr>
              <a:solidFill>
                <a:schemeClr val="accent1">
                  <a:lumMod val="80000"/>
                  <a:alpha val="90000"/>
                </a:schemeClr>
              </a:solidFill>
              <a:ln w="19050">
                <a:solidFill>
                  <a:schemeClr val="accent1">
                    <a:lumMod val="80000"/>
                    <a:lumMod val="75000"/>
                  </a:schemeClr>
                </a:solidFill>
              </a:ln>
              <a:effectLst>
                <a:innerShdw blurRad="114300">
                  <a:schemeClr val="accent1">
                    <a:lumMod val="80000"/>
                    <a:lumMod val="75000"/>
                  </a:schemeClr>
                </a:innerShdw>
              </a:effectLst>
              <a:scene3d>
                <a:camera prst="orthographicFront"/>
                <a:lightRig rig="threePt" dir="t"/>
              </a:scene3d>
              <a:sp3d contourW="19050" prstMaterial="flat">
                <a:contourClr>
                  <a:schemeClr val="accent1">
                    <a:lumMod val="80000"/>
                    <a:lumMod val="75000"/>
                  </a:schemeClr>
                </a:contourClr>
              </a:sp3d>
            </c:spPr>
            <c:extLst>
              <c:ext xmlns:c16="http://schemas.microsoft.com/office/drawing/2014/chart" uri="{C3380CC4-5D6E-409C-BE32-E72D297353CC}">
                <c16:uniqueId val="{00000091-3866-0D4D-BB6B-71AF7F2926C7}"/>
              </c:ext>
            </c:extLst>
          </c:dPt>
          <c:dPt>
            <c:idx val="73"/>
            <c:bubble3D val="0"/>
            <c:spPr>
              <a:solidFill>
                <a:schemeClr val="accent2">
                  <a:lumMod val="80000"/>
                  <a:alpha val="90000"/>
                </a:schemeClr>
              </a:solidFill>
              <a:ln w="19050">
                <a:solidFill>
                  <a:schemeClr val="accent2">
                    <a:lumMod val="80000"/>
                    <a:lumMod val="75000"/>
                  </a:schemeClr>
                </a:solidFill>
              </a:ln>
              <a:effectLst>
                <a:innerShdw blurRad="114300">
                  <a:schemeClr val="accent2">
                    <a:lumMod val="80000"/>
                    <a:lumMod val="75000"/>
                  </a:schemeClr>
                </a:innerShdw>
              </a:effectLst>
              <a:scene3d>
                <a:camera prst="orthographicFront"/>
                <a:lightRig rig="threePt" dir="t"/>
              </a:scene3d>
              <a:sp3d contourW="19050" prstMaterial="flat">
                <a:contourClr>
                  <a:schemeClr val="accent2">
                    <a:lumMod val="80000"/>
                    <a:lumMod val="75000"/>
                  </a:schemeClr>
                </a:contourClr>
              </a:sp3d>
            </c:spPr>
            <c:extLst>
              <c:ext xmlns:c16="http://schemas.microsoft.com/office/drawing/2014/chart" uri="{C3380CC4-5D6E-409C-BE32-E72D297353CC}">
                <c16:uniqueId val="{00000093-3866-0D4D-BB6B-71AF7F2926C7}"/>
              </c:ext>
            </c:extLst>
          </c:dPt>
          <c:dPt>
            <c:idx val="74"/>
            <c:bubble3D val="0"/>
            <c:spPr>
              <a:solidFill>
                <a:schemeClr val="accent3">
                  <a:lumMod val="80000"/>
                  <a:alpha val="90000"/>
                </a:schemeClr>
              </a:solidFill>
              <a:ln w="19050">
                <a:solidFill>
                  <a:schemeClr val="accent3">
                    <a:lumMod val="80000"/>
                    <a:lumMod val="75000"/>
                  </a:schemeClr>
                </a:solidFill>
              </a:ln>
              <a:effectLst>
                <a:innerShdw blurRad="114300">
                  <a:schemeClr val="accent3">
                    <a:lumMod val="80000"/>
                    <a:lumMod val="75000"/>
                  </a:schemeClr>
                </a:innerShdw>
              </a:effectLst>
              <a:scene3d>
                <a:camera prst="orthographicFront"/>
                <a:lightRig rig="threePt" dir="t"/>
              </a:scene3d>
              <a:sp3d contourW="19050" prstMaterial="flat">
                <a:contourClr>
                  <a:schemeClr val="accent3">
                    <a:lumMod val="80000"/>
                    <a:lumMod val="75000"/>
                  </a:schemeClr>
                </a:contourClr>
              </a:sp3d>
            </c:spPr>
            <c:extLst>
              <c:ext xmlns:c16="http://schemas.microsoft.com/office/drawing/2014/chart" uri="{C3380CC4-5D6E-409C-BE32-E72D297353CC}">
                <c16:uniqueId val="{00000095-3866-0D4D-BB6B-71AF7F2926C7}"/>
              </c:ext>
            </c:extLst>
          </c:dPt>
          <c:dPt>
            <c:idx val="75"/>
            <c:bubble3D val="0"/>
            <c:spPr>
              <a:solidFill>
                <a:schemeClr val="accent4">
                  <a:lumMod val="80000"/>
                  <a:alpha val="90000"/>
                </a:schemeClr>
              </a:solidFill>
              <a:ln w="19050">
                <a:solidFill>
                  <a:schemeClr val="accent4">
                    <a:lumMod val="80000"/>
                    <a:lumMod val="75000"/>
                  </a:schemeClr>
                </a:solidFill>
              </a:ln>
              <a:effectLst>
                <a:innerShdw blurRad="114300">
                  <a:schemeClr val="accent4">
                    <a:lumMod val="80000"/>
                    <a:lumMod val="75000"/>
                  </a:schemeClr>
                </a:innerShdw>
              </a:effectLst>
              <a:scene3d>
                <a:camera prst="orthographicFront"/>
                <a:lightRig rig="threePt" dir="t"/>
              </a:scene3d>
              <a:sp3d contourW="19050" prstMaterial="flat">
                <a:contourClr>
                  <a:schemeClr val="accent4">
                    <a:lumMod val="80000"/>
                    <a:lumMod val="75000"/>
                  </a:schemeClr>
                </a:contourClr>
              </a:sp3d>
            </c:spPr>
            <c:extLst>
              <c:ext xmlns:c16="http://schemas.microsoft.com/office/drawing/2014/chart" uri="{C3380CC4-5D6E-409C-BE32-E72D297353CC}">
                <c16:uniqueId val="{00000097-3866-0D4D-BB6B-71AF7F2926C7}"/>
              </c:ext>
            </c:extLst>
          </c:dPt>
          <c:dPt>
            <c:idx val="76"/>
            <c:bubble3D val="0"/>
            <c:spPr>
              <a:solidFill>
                <a:schemeClr val="accent5">
                  <a:lumMod val="80000"/>
                  <a:alpha val="90000"/>
                </a:schemeClr>
              </a:solidFill>
              <a:ln w="19050">
                <a:solidFill>
                  <a:schemeClr val="accent5">
                    <a:lumMod val="80000"/>
                    <a:lumMod val="75000"/>
                  </a:schemeClr>
                </a:solidFill>
              </a:ln>
              <a:effectLst>
                <a:innerShdw blurRad="114300">
                  <a:schemeClr val="accent5">
                    <a:lumMod val="80000"/>
                    <a:lumMod val="75000"/>
                  </a:schemeClr>
                </a:innerShdw>
              </a:effectLst>
              <a:scene3d>
                <a:camera prst="orthographicFront"/>
                <a:lightRig rig="threePt" dir="t"/>
              </a:scene3d>
              <a:sp3d contourW="19050" prstMaterial="flat">
                <a:contourClr>
                  <a:schemeClr val="accent5">
                    <a:lumMod val="80000"/>
                    <a:lumMod val="75000"/>
                  </a:schemeClr>
                </a:contourClr>
              </a:sp3d>
            </c:spPr>
            <c:extLst>
              <c:ext xmlns:c16="http://schemas.microsoft.com/office/drawing/2014/chart" uri="{C3380CC4-5D6E-409C-BE32-E72D297353CC}">
                <c16:uniqueId val="{00000099-3866-0D4D-BB6B-71AF7F2926C7}"/>
              </c:ext>
            </c:extLst>
          </c:dPt>
          <c:dPt>
            <c:idx val="77"/>
            <c:bubble3D val="0"/>
            <c:spPr>
              <a:solidFill>
                <a:schemeClr val="accent6">
                  <a:lumMod val="80000"/>
                  <a:alpha val="90000"/>
                </a:schemeClr>
              </a:solidFill>
              <a:ln w="19050">
                <a:solidFill>
                  <a:schemeClr val="accent6">
                    <a:lumMod val="80000"/>
                    <a:lumMod val="75000"/>
                  </a:schemeClr>
                </a:solidFill>
              </a:ln>
              <a:effectLst>
                <a:innerShdw blurRad="114300">
                  <a:schemeClr val="accent6">
                    <a:lumMod val="80000"/>
                    <a:lumMod val="75000"/>
                  </a:schemeClr>
                </a:innerShdw>
              </a:effectLst>
              <a:scene3d>
                <a:camera prst="orthographicFront"/>
                <a:lightRig rig="threePt" dir="t"/>
              </a:scene3d>
              <a:sp3d contourW="19050" prstMaterial="flat">
                <a:contourClr>
                  <a:schemeClr val="accent6">
                    <a:lumMod val="80000"/>
                    <a:lumMod val="75000"/>
                  </a:schemeClr>
                </a:contourClr>
              </a:sp3d>
            </c:spPr>
            <c:extLst>
              <c:ext xmlns:c16="http://schemas.microsoft.com/office/drawing/2014/chart" uri="{C3380CC4-5D6E-409C-BE32-E72D297353CC}">
                <c16:uniqueId val="{0000009B-3866-0D4D-BB6B-71AF7F2926C7}"/>
              </c:ext>
            </c:extLst>
          </c:dPt>
          <c:dPt>
            <c:idx val="78"/>
            <c:bubble3D val="0"/>
            <c:spPr>
              <a:solidFill>
                <a:schemeClr val="accent1">
                  <a:lumMod val="60000"/>
                  <a:lumOff val="40000"/>
                  <a:alpha val="90000"/>
                </a:schemeClr>
              </a:solidFill>
              <a:ln w="19050">
                <a:solidFill>
                  <a:schemeClr val="accent1">
                    <a:lumMod val="60000"/>
                    <a:lumOff val="40000"/>
                    <a:lumMod val="75000"/>
                  </a:schemeClr>
                </a:solidFill>
              </a:ln>
              <a:effectLst>
                <a:innerShdw blurRad="114300">
                  <a:schemeClr val="accent1">
                    <a:lumMod val="60000"/>
                    <a:lumOff val="40000"/>
                    <a:lumMod val="75000"/>
                  </a:schemeClr>
                </a:innerShdw>
              </a:effectLst>
              <a:scene3d>
                <a:camera prst="orthographicFront"/>
                <a:lightRig rig="threePt" dir="t"/>
              </a:scene3d>
              <a:sp3d contourW="19050" prstMaterial="flat">
                <a:contourClr>
                  <a:schemeClr val="accent1">
                    <a:lumMod val="60000"/>
                    <a:lumOff val="40000"/>
                    <a:lumMod val="75000"/>
                  </a:schemeClr>
                </a:contourClr>
              </a:sp3d>
            </c:spPr>
            <c:extLst>
              <c:ext xmlns:c16="http://schemas.microsoft.com/office/drawing/2014/chart" uri="{C3380CC4-5D6E-409C-BE32-E72D297353CC}">
                <c16:uniqueId val="{0000009D-3866-0D4D-BB6B-71AF7F2926C7}"/>
              </c:ext>
            </c:extLst>
          </c:dPt>
          <c:dPt>
            <c:idx val="79"/>
            <c:bubble3D val="0"/>
            <c:spPr>
              <a:solidFill>
                <a:schemeClr val="accent2">
                  <a:lumMod val="60000"/>
                  <a:lumOff val="40000"/>
                  <a:alpha val="90000"/>
                </a:schemeClr>
              </a:solidFill>
              <a:ln w="19050">
                <a:solidFill>
                  <a:schemeClr val="accent2">
                    <a:lumMod val="60000"/>
                    <a:lumOff val="40000"/>
                    <a:lumMod val="75000"/>
                  </a:schemeClr>
                </a:solidFill>
              </a:ln>
              <a:effectLst>
                <a:innerShdw blurRad="114300">
                  <a:schemeClr val="accent2">
                    <a:lumMod val="60000"/>
                    <a:lumOff val="40000"/>
                    <a:lumMod val="75000"/>
                  </a:schemeClr>
                </a:innerShdw>
              </a:effectLst>
              <a:scene3d>
                <a:camera prst="orthographicFront"/>
                <a:lightRig rig="threePt" dir="t"/>
              </a:scene3d>
              <a:sp3d contourW="19050" prstMaterial="flat">
                <a:contourClr>
                  <a:schemeClr val="accent2">
                    <a:lumMod val="60000"/>
                    <a:lumOff val="40000"/>
                    <a:lumMod val="75000"/>
                  </a:schemeClr>
                </a:contourClr>
              </a:sp3d>
            </c:spPr>
            <c:extLst>
              <c:ext xmlns:c16="http://schemas.microsoft.com/office/drawing/2014/chart" uri="{C3380CC4-5D6E-409C-BE32-E72D297353CC}">
                <c16:uniqueId val="{0000009F-3866-0D4D-BB6B-71AF7F2926C7}"/>
              </c:ext>
            </c:extLst>
          </c:dPt>
          <c:dPt>
            <c:idx val="80"/>
            <c:bubble3D val="0"/>
            <c:spPr>
              <a:solidFill>
                <a:schemeClr val="accent3">
                  <a:lumMod val="60000"/>
                  <a:lumOff val="40000"/>
                  <a:alpha val="90000"/>
                </a:schemeClr>
              </a:solidFill>
              <a:ln w="19050">
                <a:solidFill>
                  <a:schemeClr val="accent3">
                    <a:lumMod val="60000"/>
                    <a:lumOff val="40000"/>
                    <a:lumMod val="75000"/>
                  </a:schemeClr>
                </a:solidFill>
              </a:ln>
              <a:effectLst>
                <a:innerShdw blurRad="114300">
                  <a:schemeClr val="accent3">
                    <a:lumMod val="60000"/>
                    <a:lumOff val="40000"/>
                    <a:lumMod val="75000"/>
                  </a:schemeClr>
                </a:innerShdw>
              </a:effectLst>
              <a:scene3d>
                <a:camera prst="orthographicFront"/>
                <a:lightRig rig="threePt" dir="t"/>
              </a:scene3d>
              <a:sp3d contourW="19050" prstMaterial="flat">
                <a:contourClr>
                  <a:schemeClr val="accent3">
                    <a:lumMod val="60000"/>
                    <a:lumOff val="40000"/>
                    <a:lumMod val="75000"/>
                  </a:schemeClr>
                </a:contourClr>
              </a:sp3d>
            </c:spPr>
            <c:extLst>
              <c:ext xmlns:c16="http://schemas.microsoft.com/office/drawing/2014/chart" uri="{C3380CC4-5D6E-409C-BE32-E72D297353CC}">
                <c16:uniqueId val="{000000A1-3866-0D4D-BB6B-71AF7F2926C7}"/>
              </c:ext>
            </c:extLst>
          </c:dPt>
          <c:dPt>
            <c:idx val="81"/>
            <c:bubble3D val="0"/>
            <c:spPr>
              <a:solidFill>
                <a:schemeClr val="accent4">
                  <a:lumMod val="60000"/>
                  <a:lumOff val="40000"/>
                  <a:alpha val="90000"/>
                </a:schemeClr>
              </a:solidFill>
              <a:ln w="19050">
                <a:solidFill>
                  <a:schemeClr val="accent4">
                    <a:lumMod val="60000"/>
                    <a:lumOff val="40000"/>
                    <a:lumMod val="75000"/>
                  </a:schemeClr>
                </a:solidFill>
              </a:ln>
              <a:effectLst>
                <a:innerShdw blurRad="114300">
                  <a:schemeClr val="accent4">
                    <a:lumMod val="60000"/>
                    <a:lumOff val="40000"/>
                    <a:lumMod val="75000"/>
                  </a:schemeClr>
                </a:innerShdw>
              </a:effectLst>
              <a:scene3d>
                <a:camera prst="orthographicFront"/>
                <a:lightRig rig="threePt" dir="t"/>
              </a:scene3d>
              <a:sp3d contourW="19050" prstMaterial="flat">
                <a:contourClr>
                  <a:schemeClr val="accent4">
                    <a:lumMod val="60000"/>
                    <a:lumOff val="40000"/>
                    <a:lumMod val="75000"/>
                  </a:schemeClr>
                </a:contourClr>
              </a:sp3d>
            </c:spPr>
            <c:extLst>
              <c:ext xmlns:c16="http://schemas.microsoft.com/office/drawing/2014/chart" uri="{C3380CC4-5D6E-409C-BE32-E72D297353CC}">
                <c16:uniqueId val="{000000A3-3866-0D4D-BB6B-71AF7F2926C7}"/>
              </c:ext>
            </c:extLst>
          </c:dPt>
          <c:dPt>
            <c:idx val="82"/>
            <c:bubble3D val="0"/>
            <c:spPr>
              <a:solidFill>
                <a:schemeClr val="accent5">
                  <a:lumMod val="60000"/>
                  <a:lumOff val="40000"/>
                  <a:alpha val="90000"/>
                </a:schemeClr>
              </a:solidFill>
              <a:ln w="19050">
                <a:solidFill>
                  <a:schemeClr val="accent5">
                    <a:lumMod val="60000"/>
                    <a:lumOff val="40000"/>
                    <a:lumMod val="75000"/>
                  </a:schemeClr>
                </a:solidFill>
              </a:ln>
              <a:effectLst>
                <a:innerShdw blurRad="114300">
                  <a:schemeClr val="accent5">
                    <a:lumMod val="60000"/>
                    <a:lumOff val="40000"/>
                    <a:lumMod val="75000"/>
                  </a:schemeClr>
                </a:innerShdw>
              </a:effectLst>
              <a:scene3d>
                <a:camera prst="orthographicFront"/>
                <a:lightRig rig="threePt" dir="t"/>
              </a:scene3d>
              <a:sp3d contourW="19050" prstMaterial="flat">
                <a:contourClr>
                  <a:schemeClr val="accent5">
                    <a:lumMod val="60000"/>
                    <a:lumOff val="40000"/>
                    <a:lumMod val="75000"/>
                  </a:schemeClr>
                </a:contourClr>
              </a:sp3d>
            </c:spPr>
            <c:extLst>
              <c:ext xmlns:c16="http://schemas.microsoft.com/office/drawing/2014/chart" uri="{C3380CC4-5D6E-409C-BE32-E72D297353CC}">
                <c16:uniqueId val="{000000A5-3866-0D4D-BB6B-71AF7F2926C7}"/>
              </c:ext>
            </c:extLst>
          </c:dPt>
          <c:dPt>
            <c:idx val="83"/>
            <c:bubble3D val="0"/>
            <c:spPr>
              <a:solidFill>
                <a:schemeClr val="accent6">
                  <a:lumMod val="60000"/>
                  <a:lumOff val="40000"/>
                  <a:alpha val="90000"/>
                </a:schemeClr>
              </a:solidFill>
              <a:ln w="19050">
                <a:solidFill>
                  <a:schemeClr val="accent6">
                    <a:lumMod val="60000"/>
                    <a:lumOff val="40000"/>
                    <a:lumMod val="75000"/>
                  </a:schemeClr>
                </a:solidFill>
              </a:ln>
              <a:effectLst>
                <a:innerShdw blurRad="114300">
                  <a:schemeClr val="accent6">
                    <a:lumMod val="60000"/>
                    <a:lumOff val="40000"/>
                    <a:lumMod val="75000"/>
                  </a:schemeClr>
                </a:innerShdw>
              </a:effectLst>
              <a:scene3d>
                <a:camera prst="orthographicFront"/>
                <a:lightRig rig="threePt" dir="t"/>
              </a:scene3d>
              <a:sp3d contourW="19050" prstMaterial="flat">
                <a:contourClr>
                  <a:schemeClr val="accent6">
                    <a:lumMod val="60000"/>
                    <a:lumOff val="40000"/>
                    <a:lumMod val="75000"/>
                  </a:schemeClr>
                </a:contourClr>
              </a:sp3d>
            </c:spPr>
            <c:extLst>
              <c:ext xmlns:c16="http://schemas.microsoft.com/office/drawing/2014/chart" uri="{C3380CC4-5D6E-409C-BE32-E72D297353CC}">
                <c16:uniqueId val="{000000A7-3866-0D4D-BB6B-71AF7F2926C7}"/>
              </c:ext>
            </c:extLst>
          </c:dPt>
          <c:dPt>
            <c:idx val="84"/>
            <c:bubble3D val="0"/>
            <c:spPr>
              <a:solidFill>
                <a:schemeClr val="accent1">
                  <a:lumMod val="50000"/>
                  <a:alpha val="90000"/>
                </a:schemeClr>
              </a:solidFill>
              <a:ln w="19050">
                <a:solidFill>
                  <a:schemeClr val="accent1">
                    <a:lumMod val="50000"/>
                    <a:lumMod val="75000"/>
                  </a:schemeClr>
                </a:solidFill>
              </a:ln>
              <a:effectLst>
                <a:innerShdw blurRad="114300">
                  <a:schemeClr val="accent1">
                    <a:lumMod val="50000"/>
                    <a:lumMod val="75000"/>
                  </a:schemeClr>
                </a:innerShdw>
              </a:effectLst>
              <a:scene3d>
                <a:camera prst="orthographicFront"/>
                <a:lightRig rig="threePt" dir="t"/>
              </a:scene3d>
              <a:sp3d contourW="19050" prstMaterial="flat">
                <a:contourClr>
                  <a:schemeClr val="accent1">
                    <a:lumMod val="50000"/>
                    <a:lumMod val="75000"/>
                  </a:schemeClr>
                </a:contourClr>
              </a:sp3d>
            </c:spPr>
            <c:extLst>
              <c:ext xmlns:c16="http://schemas.microsoft.com/office/drawing/2014/chart" uri="{C3380CC4-5D6E-409C-BE32-E72D297353CC}">
                <c16:uniqueId val="{000000A9-3866-0D4D-BB6B-71AF7F2926C7}"/>
              </c:ext>
            </c:extLst>
          </c:dPt>
          <c:dPt>
            <c:idx val="85"/>
            <c:bubble3D val="0"/>
            <c:spPr>
              <a:solidFill>
                <a:schemeClr val="accent2">
                  <a:lumMod val="50000"/>
                  <a:alpha val="90000"/>
                </a:schemeClr>
              </a:solidFill>
              <a:ln w="19050">
                <a:solidFill>
                  <a:schemeClr val="accent2">
                    <a:lumMod val="50000"/>
                    <a:lumMod val="75000"/>
                  </a:schemeClr>
                </a:solidFill>
              </a:ln>
              <a:effectLst>
                <a:innerShdw blurRad="114300">
                  <a:schemeClr val="accent2">
                    <a:lumMod val="50000"/>
                    <a:lumMod val="75000"/>
                  </a:schemeClr>
                </a:innerShdw>
              </a:effectLst>
              <a:scene3d>
                <a:camera prst="orthographicFront"/>
                <a:lightRig rig="threePt" dir="t"/>
              </a:scene3d>
              <a:sp3d contourW="19050" prstMaterial="flat">
                <a:contourClr>
                  <a:schemeClr val="accent2">
                    <a:lumMod val="50000"/>
                    <a:lumMod val="75000"/>
                  </a:schemeClr>
                </a:contourClr>
              </a:sp3d>
            </c:spPr>
            <c:extLst>
              <c:ext xmlns:c16="http://schemas.microsoft.com/office/drawing/2014/chart" uri="{C3380CC4-5D6E-409C-BE32-E72D297353CC}">
                <c16:uniqueId val="{000000AB-3866-0D4D-BB6B-71AF7F2926C7}"/>
              </c:ext>
            </c:extLst>
          </c:dPt>
          <c:dPt>
            <c:idx val="86"/>
            <c:bubble3D val="0"/>
            <c:spPr>
              <a:solidFill>
                <a:schemeClr val="accent3">
                  <a:lumMod val="50000"/>
                  <a:alpha val="90000"/>
                </a:schemeClr>
              </a:solidFill>
              <a:ln w="19050">
                <a:solidFill>
                  <a:schemeClr val="accent3">
                    <a:lumMod val="50000"/>
                    <a:lumMod val="75000"/>
                  </a:schemeClr>
                </a:solidFill>
              </a:ln>
              <a:effectLst>
                <a:innerShdw blurRad="114300">
                  <a:schemeClr val="accent3">
                    <a:lumMod val="50000"/>
                    <a:lumMod val="75000"/>
                  </a:schemeClr>
                </a:innerShdw>
              </a:effectLst>
              <a:scene3d>
                <a:camera prst="orthographicFront"/>
                <a:lightRig rig="threePt" dir="t"/>
              </a:scene3d>
              <a:sp3d contourW="19050" prstMaterial="flat">
                <a:contourClr>
                  <a:schemeClr val="accent3">
                    <a:lumMod val="50000"/>
                    <a:lumMod val="75000"/>
                  </a:schemeClr>
                </a:contourClr>
              </a:sp3d>
            </c:spPr>
            <c:extLst>
              <c:ext xmlns:c16="http://schemas.microsoft.com/office/drawing/2014/chart" uri="{C3380CC4-5D6E-409C-BE32-E72D297353CC}">
                <c16:uniqueId val="{000000AD-3866-0D4D-BB6B-71AF7F2926C7}"/>
              </c:ext>
            </c:extLst>
          </c:dPt>
          <c:dPt>
            <c:idx val="87"/>
            <c:bubble3D val="0"/>
            <c:spPr>
              <a:solidFill>
                <a:schemeClr val="accent4">
                  <a:lumMod val="50000"/>
                  <a:alpha val="90000"/>
                </a:schemeClr>
              </a:solidFill>
              <a:ln w="19050">
                <a:solidFill>
                  <a:schemeClr val="accent4">
                    <a:lumMod val="50000"/>
                    <a:lumMod val="75000"/>
                  </a:schemeClr>
                </a:solidFill>
              </a:ln>
              <a:effectLst>
                <a:innerShdw blurRad="114300">
                  <a:schemeClr val="accent4">
                    <a:lumMod val="50000"/>
                    <a:lumMod val="75000"/>
                  </a:schemeClr>
                </a:innerShdw>
              </a:effectLst>
              <a:scene3d>
                <a:camera prst="orthographicFront"/>
                <a:lightRig rig="threePt" dir="t"/>
              </a:scene3d>
              <a:sp3d contourW="19050" prstMaterial="flat">
                <a:contourClr>
                  <a:schemeClr val="accent4">
                    <a:lumMod val="50000"/>
                    <a:lumMod val="75000"/>
                  </a:schemeClr>
                </a:contourClr>
              </a:sp3d>
            </c:spPr>
            <c:extLst>
              <c:ext xmlns:c16="http://schemas.microsoft.com/office/drawing/2014/chart" uri="{C3380CC4-5D6E-409C-BE32-E72D297353CC}">
                <c16:uniqueId val="{000000AF-3866-0D4D-BB6B-71AF7F2926C7}"/>
              </c:ext>
            </c:extLst>
          </c:dPt>
          <c:dPt>
            <c:idx val="88"/>
            <c:bubble3D val="0"/>
            <c:spPr>
              <a:solidFill>
                <a:schemeClr val="accent5">
                  <a:lumMod val="50000"/>
                  <a:alpha val="90000"/>
                </a:schemeClr>
              </a:solidFill>
              <a:ln w="19050">
                <a:solidFill>
                  <a:schemeClr val="accent5">
                    <a:lumMod val="50000"/>
                    <a:lumMod val="75000"/>
                  </a:schemeClr>
                </a:solidFill>
              </a:ln>
              <a:effectLst>
                <a:innerShdw blurRad="114300">
                  <a:schemeClr val="accent5">
                    <a:lumMod val="50000"/>
                    <a:lumMod val="75000"/>
                  </a:schemeClr>
                </a:innerShdw>
              </a:effectLst>
              <a:scene3d>
                <a:camera prst="orthographicFront"/>
                <a:lightRig rig="threePt" dir="t"/>
              </a:scene3d>
              <a:sp3d contourW="19050" prstMaterial="flat">
                <a:contourClr>
                  <a:schemeClr val="accent5">
                    <a:lumMod val="50000"/>
                    <a:lumMod val="75000"/>
                  </a:schemeClr>
                </a:contourClr>
              </a:sp3d>
            </c:spPr>
            <c:extLst>
              <c:ext xmlns:c16="http://schemas.microsoft.com/office/drawing/2014/chart" uri="{C3380CC4-5D6E-409C-BE32-E72D297353CC}">
                <c16:uniqueId val="{000000B1-3866-0D4D-BB6B-71AF7F2926C7}"/>
              </c:ext>
            </c:extLst>
          </c:dPt>
          <c:dPt>
            <c:idx val="89"/>
            <c:bubble3D val="0"/>
            <c:spPr>
              <a:solidFill>
                <a:schemeClr val="accent6">
                  <a:lumMod val="50000"/>
                  <a:alpha val="90000"/>
                </a:schemeClr>
              </a:solidFill>
              <a:ln w="19050">
                <a:solidFill>
                  <a:schemeClr val="accent6">
                    <a:lumMod val="50000"/>
                    <a:lumMod val="75000"/>
                  </a:schemeClr>
                </a:solidFill>
              </a:ln>
              <a:effectLst>
                <a:innerShdw blurRad="114300">
                  <a:schemeClr val="accent6">
                    <a:lumMod val="50000"/>
                    <a:lumMod val="75000"/>
                  </a:schemeClr>
                </a:innerShdw>
              </a:effectLst>
              <a:scene3d>
                <a:camera prst="orthographicFront"/>
                <a:lightRig rig="threePt" dir="t"/>
              </a:scene3d>
              <a:sp3d contourW="19050" prstMaterial="flat">
                <a:contourClr>
                  <a:schemeClr val="accent6">
                    <a:lumMod val="50000"/>
                    <a:lumMod val="75000"/>
                  </a:schemeClr>
                </a:contourClr>
              </a:sp3d>
            </c:spPr>
            <c:extLst>
              <c:ext xmlns:c16="http://schemas.microsoft.com/office/drawing/2014/chart" uri="{C3380CC4-5D6E-409C-BE32-E72D297353CC}">
                <c16:uniqueId val="{000000B3-3866-0D4D-BB6B-71AF7F2926C7}"/>
              </c:ext>
            </c:extLst>
          </c:dPt>
          <c:dPt>
            <c:idx val="90"/>
            <c:bubble3D val="0"/>
            <c:spPr>
              <a:solidFill>
                <a:schemeClr val="accent1">
                  <a:lumMod val="70000"/>
                  <a:lumOff val="30000"/>
                  <a:alpha val="90000"/>
                </a:schemeClr>
              </a:solidFill>
              <a:ln w="19050">
                <a:solidFill>
                  <a:schemeClr val="accent1">
                    <a:lumMod val="70000"/>
                    <a:lumOff val="30000"/>
                    <a:lumMod val="75000"/>
                  </a:schemeClr>
                </a:solidFill>
              </a:ln>
              <a:effectLst>
                <a:innerShdw blurRad="114300">
                  <a:schemeClr val="accent1">
                    <a:lumMod val="70000"/>
                    <a:lumOff val="30000"/>
                    <a:lumMod val="75000"/>
                  </a:schemeClr>
                </a:innerShdw>
              </a:effectLst>
              <a:scene3d>
                <a:camera prst="orthographicFront"/>
                <a:lightRig rig="threePt" dir="t"/>
              </a:scene3d>
              <a:sp3d contourW="19050" prstMaterial="flat">
                <a:contourClr>
                  <a:schemeClr val="accent1">
                    <a:lumMod val="70000"/>
                    <a:lumOff val="30000"/>
                    <a:lumMod val="75000"/>
                  </a:schemeClr>
                </a:contourClr>
              </a:sp3d>
            </c:spPr>
            <c:extLst>
              <c:ext xmlns:c16="http://schemas.microsoft.com/office/drawing/2014/chart" uri="{C3380CC4-5D6E-409C-BE32-E72D297353CC}">
                <c16:uniqueId val="{000000B5-3866-0D4D-BB6B-71AF7F2926C7}"/>
              </c:ext>
            </c:extLst>
          </c:dPt>
          <c:dPt>
            <c:idx val="91"/>
            <c:bubble3D val="0"/>
            <c:spPr>
              <a:solidFill>
                <a:schemeClr val="accent2">
                  <a:lumMod val="70000"/>
                  <a:lumOff val="30000"/>
                  <a:alpha val="90000"/>
                </a:schemeClr>
              </a:solidFill>
              <a:ln w="19050">
                <a:solidFill>
                  <a:schemeClr val="accent2">
                    <a:lumMod val="70000"/>
                    <a:lumOff val="30000"/>
                    <a:lumMod val="75000"/>
                  </a:schemeClr>
                </a:solidFill>
              </a:ln>
              <a:effectLst>
                <a:innerShdw blurRad="114300">
                  <a:schemeClr val="accent2">
                    <a:lumMod val="70000"/>
                    <a:lumOff val="30000"/>
                    <a:lumMod val="75000"/>
                  </a:schemeClr>
                </a:innerShdw>
              </a:effectLst>
              <a:scene3d>
                <a:camera prst="orthographicFront"/>
                <a:lightRig rig="threePt" dir="t"/>
              </a:scene3d>
              <a:sp3d contourW="19050" prstMaterial="flat">
                <a:contourClr>
                  <a:schemeClr val="accent2">
                    <a:lumMod val="70000"/>
                    <a:lumOff val="30000"/>
                    <a:lumMod val="75000"/>
                  </a:schemeClr>
                </a:contourClr>
              </a:sp3d>
            </c:spPr>
            <c:extLst>
              <c:ext xmlns:c16="http://schemas.microsoft.com/office/drawing/2014/chart" uri="{C3380CC4-5D6E-409C-BE32-E72D297353CC}">
                <c16:uniqueId val="{000000B7-3866-0D4D-BB6B-71AF7F2926C7}"/>
              </c:ext>
            </c:extLst>
          </c:dPt>
          <c:dPt>
            <c:idx val="92"/>
            <c:bubble3D val="0"/>
            <c:spPr>
              <a:solidFill>
                <a:schemeClr val="accent3">
                  <a:lumMod val="70000"/>
                  <a:lumOff val="30000"/>
                  <a:alpha val="90000"/>
                </a:schemeClr>
              </a:solidFill>
              <a:ln w="19050">
                <a:solidFill>
                  <a:schemeClr val="accent3">
                    <a:lumMod val="70000"/>
                    <a:lumOff val="30000"/>
                    <a:lumMod val="75000"/>
                  </a:schemeClr>
                </a:solidFill>
              </a:ln>
              <a:effectLst>
                <a:innerShdw blurRad="114300">
                  <a:schemeClr val="accent3">
                    <a:lumMod val="70000"/>
                    <a:lumOff val="30000"/>
                    <a:lumMod val="75000"/>
                  </a:schemeClr>
                </a:innerShdw>
              </a:effectLst>
              <a:scene3d>
                <a:camera prst="orthographicFront"/>
                <a:lightRig rig="threePt" dir="t"/>
              </a:scene3d>
              <a:sp3d contourW="19050" prstMaterial="flat">
                <a:contourClr>
                  <a:schemeClr val="accent3">
                    <a:lumMod val="70000"/>
                    <a:lumOff val="30000"/>
                    <a:lumMod val="75000"/>
                  </a:schemeClr>
                </a:contourClr>
              </a:sp3d>
            </c:spPr>
            <c:extLst>
              <c:ext xmlns:c16="http://schemas.microsoft.com/office/drawing/2014/chart" uri="{C3380CC4-5D6E-409C-BE32-E72D297353CC}">
                <c16:uniqueId val="{000000B9-3866-0D4D-BB6B-71AF7F2926C7}"/>
              </c:ext>
            </c:extLst>
          </c:dPt>
          <c:dPt>
            <c:idx val="93"/>
            <c:bubble3D val="0"/>
            <c:spPr>
              <a:solidFill>
                <a:schemeClr val="accent4">
                  <a:lumMod val="70000"/>
                  <a:lumOff val="30000"/>
                  <a:alpha val="90000"/>
                </a:schemeClr>
              </a:solidFill>
              <a:ln w="19050">
                <a:solidFill>
                  <a:schemeClr val="accent4">
                    <a:lumMod val="70000"/>
                    <a:lumOff val="30000"/>
                    <a:lumMod val="75000"/>
                  </a:schemeClr>
                </a:solidFill>
              </a:ln>
              <a:effectLst>
                <a:innerShdw blurRad="114300">
                  <a:schemeClr val="accent4">
                    <a:lumMod val="70000"/>
                    <a:lumOff val="30000"/>
                    <a:lumMod val="75000"/>
                  </a:schemeClr>
                </a:innerShdw>
              </a:effectLst>
              <a:scene3d>
                <a:camera prst="orthographicFront"/>
                <a:lightRig rig="threePt" dir="t"/>
              </a:scene3d>
              <a:sp3d contourW="19050" prstMaterial="flat">
                <a:contourClr>
                  <a:schemeClr val="accent4">
                    <a:lumMod val="70000"/>
                    <a:lumOff val="30000"/>
                    <a:lumMod val="75000"/>
                  </a:schemeClr>
                </a:contourClr>
              </a:sp3d>
            </c:spPr>
            <c:extLst>
              <c:ext xmlns:c16="http://schemas.microsoft.com/office/drawing/2014/chart" uri="{C3380CC4-5D6E-409C-BE32-E72D297353CC}">
                <c16:uniqueId val="{000000BB-3866-0D4D-BB6B-71AF7F2926C7}"/>
              </c:ext>
            </c:extLst>
          </c:dPt>
          <c:dPt>
            <c:idx val="94"/>
            <c:bubble3D val="0"/>
            <c:spPr>
              <a:solidFill>
                <a:schemeClr val="accent5">
                  <a:lumMod val="70000"/>
                  <a:lumOff val="30000"/>
                  <a:alpha val="90000"/>
                </a:schemeClr>
              </a:solidFill>
              <a:ln w="19050">
                <a:solidFill>
                  <a:schemeClr val="accent5">
                    <a:lumMod val="70000"/>
                    <a:lumOff val="30000"/>
                    <a:lumMod val="75000"/>
                  </a:schemeClr>
                </a:solidFill>
              </a:ln>
              <a:effectLst>
                <a:innerShdw blurRad="114300">
                  <a:schemeClr val="accent5">
                    <a:lumMod val="70000"/>
                    <a:lumOff val="30000"/>
                    <a:lumMod val="75000"/>
                  </a:schemeClr>
                </a:innerShdw>
              </a:effectLst>
              <a:scene3d>
                <a:camera prst="orthographicFront"/>
                <a:lightRig rig="threePt" dir="t"/>
              </a:scene3d>
              <a:sp3d contourW="19050" prstMaterial="flat">
                <a:contourClr>
                  <a:schemeClr val="accent5">
                    <a:lumMod val="70000"/>
                    <a:lumOff val="30000"/>
                    <a:lumMod val="75000"/>
                  </a:schemeClr>
                </a:contourClr>
              </a:sp3d>
            </c:spPr>
            <c:extLst>
              <c:ext xmlns:c16="http://schemas.microsoft.com/office/drawing/2014/chart" uri="{C3380CC4-5D6E-409C-BE32-E72D297353CC}">
                <c16:uniqueId val="{000000BD-3866-0D4D-BB6B-71AF7F2926C7}"/>
              </c:ext>
            </c:extLst>
          </c:dPt>
          <c:dPt>
            <c:idx val="95"/>
            <c:bubble3D val="0"/>
            <c:spPr>
              <a:solidFill>
                <a:schemeClr val="accent6">
                  <a:lumMod val="70000"/>
                  <a:lumOff val="30000"/>
                  <a:alpha val="90000"/>
                </a:schemeClr>
              </a:solidFill>
              <a:ln w="19050">
                <a:solidFill>
                  <a:schemeClr val="accent6">
                    <a:lumMod val="70000"/>
                    <a:lumOff val="30000"/>
                    <a:lumMod val="75000"/>
                  </a:schemeClr>
                </a:solidFill>
              </a:ln>
              <a:effectLst>
                <a:innerShdw blurRad="114300">
                  <a:schemeClr val="accent6">
                    <a:lumMod val="70000"/>
                    <a:lumOff val="30000"/>
                    <a:lumMod val="75000"/>
                  </a:schemeClr>
                </a:innerShdw>
              </a:effectLst>
              <a:scene3d>
                <a:camera prst="orthographicFront"/>
                <a:lightRig rig="threePt" dir="t"/>
              </a:scene3d>
              <a:sp3d contourW="19050" prstMaterial="flat">
                <a:contourClr>
                  <a:schemeClr val="accent6">
                    <a:lumMod val="70000"/>
                    <a:lumOff val="30000"/>
                    <a:lumMod val="75000"/>
                  </a:schemeClr>
                </a:contourClr>
              </a:sp3d>
            </c:spPr>
            <c:extLst>
              <c:ext xmlns:c16="http://schemas.microsoft.com/office/drawing/2014/chart" uri="{C3380CC4-5D6E-409C-BE32-E72D297353CC}">
                <c16:uniqueId val="{000000BF-3866-0D4D-BB6B-71AF7F2926C7}"/>
              </c:ext>
            </c:extLst>
          </c:dPt>
          <c:dPt>
            <c:idx val="96"/>
            <c:bubble3D val="0"/>
            <c:spPr>
              <a:solidFill>
                <a:schemeClr val="accent1">
                  <a:lumMod val="70000"/>
                  <a:alpha val="90000"/>
                </a:schemeClr>
              </a:solidFill>
              <a:ln w="19050">
                <a:solidFill>
                  <a:schemeClr val="accent1">
                    <a:lumMod val="70000"/>
                    <a:lumMod val="75000"/>
                  </a:schemeClr>
                </a:solidFill>
              </a:ln>
              <a:effectLst>
                <a:innerShdw blurRad="114300">
                  <a:schemeClr val="accent1">
                    <a:lumMod val="70000"/>
                    <a:lumMod val="75000"/>
                  </a:schemeClr>
                </a:innerShdw>
              </a:effectLst>
              <a:scene3d>
                <a:camera prst="orthographicFront"/>
                <a:lightRig rig="threePt" dir="t"/>
              </a:scene3d>
              <a:sp3d contourW="19050" prstMaterial="flat">
                <a:contourClr>
                  <a:schemeClr val="accent1">
                    <a:lumMod val="70000"/>
                    <a:lumMod val="75000"/>
                  </a:schemeClr>
                </a:contourClr>
              </a:sp3d>
            </c:spPr>
            <c:extLst>
              <c:ext xmlns:c16="http://schemas.microsoft.com/office/drawing/2014/chart" uri="{C3380CC4-5D6E-409C-BE32-E72D297353CC}">
                <c16:uniqueId val="{000000C1-3866-0D4D-BB6B-71AF7F2926C7}"/>
              </c:ext>
            </c:extLst>
          </c:dPt>
          <c:dPt>
            <c:idx val="97"/>
            <c:bubble3D val="0"/>
            <c:spPr>
              <a:solidFill>
                <a:schemeClr val="accent2">
                  <a:lumMod val="70000"/>
                  <a:alpha val="90000"/>
                </a:schemeClr>
              </a:solidFill>
              <a:ln w="19050">
                <a:solidFill>
                  <a:schemeClr val="accent2">
                    <a:lumMod val="70000"/>
                    <a:lumMod val="75000"/>
                  </a:schemeClr>
                </a:solidFill>
              </a:ln>
              <a:effectLst>
                <a:innerShdw blurRad="114300">
                  <a:schemeClr val="accent2">
                    <a:lumMod val="70000"/>
                    <a:lumMod val="75000"/>
                  </a:schemeClr>
                </a:innerShdw>
              </a:effectLst>
              <a:scene3d>
                <a:camera prst="orthographicFront"/>
                <a:lightRig rig="threePt" dir="t"/>
              </a:scene3d>
              <a:sp3d contourW="19050" prstMaterial="flat">
                <a:contourClr>
                  <a:schemeClr val="accent2">
                    <a:lumMod val="70000"/>
                    <a:lumMod val="75000"/>
                  </a:schemeClr>
                </a:contourClr>
              </a:sp3d>
            </c:spPr>
            <c:extLst>
              <c:ext xmlns:c16="http://schemas.microsoft.com/office/drawing/2014/chart" uri="{C3380CC4-5D6E-409C-BE32-E72D297353CC}">
                <c16:uniqueId val="{000000C3-3866-0D4D-BB6B-71AF7F2926C7}"/>
              </c:ext>
            </c:extLst>
          </c:dPt>
          <c:dPt>
            <c:idx val="98"/>
            <c:bubble3D val="0"/>
            <c:spPr>
              <a:solidFill>
                <a:schemeClr val="accent3">
                  <a:lumMod val="70000"/>
                  <a:alpha val="90000"/>
                </a:schemeClr>
              </a:solidFill>
              <a:ln w="19050">
                <a:solidFill>
                  <a:schemeClr val="accent3">
                    <a:lumMod val="70000"/>
                    <a:lumMod val="75000"/>
                  </a:schemeClr>
                </a:solidFill>
              </a:ln>
              <a:effectLst>
                <a:innerShdw blurRad="114300">
                  <a:schemeClr val="accent3">
                    <a:lumMod val="70000"/>
                    <a:lumMod val="75000"/>
                  </a:schemeClr>
                </a:innerShdw>
              </a:effectLst>
              <a:scene3d>
                <a:camera prst="orthographicFront"/>
                <a:lightRig rig="threePt" dir="t"/>
              </a:scene3d>
              <a:sp3d contourW="19050" prstMaterial="flat">
                <a:contourClr>
                  <a:schemeClr val="accent3">
                    <a:lumMod val="70000"/>
                    <a:lumMod val="75000"/>
                  </a:schemeClr>
                </a:contourClr>
              </a:sp3d>
            </c:spPr>
            <c:extLst>
              <c:ext xmlns:c16="http://schemas.microsoft.com/office/drawing/2014/chart" uri="{C3380CC4-5D6E-409C-BE32-E72D297353CC}">
                <c16:uniqueId val="{000000C5-3866-0D4D-BB6B-71AF7F2926C7}"/>
              </c:ext>
            </c:extLst>
          </c:dPt>
          <c:dPt>
            <c:idx val="99"/>
            <c:bubble3D val="0"/>
            <c:spPr>
              <a:solidFill>
                <a:schemeClr val="accent4">
                  <a:lumMod val="70000"/>
                  <a:alpha val="90000"/>
                </a:schemeClr>
              </a:solidFill>
              <a:ln w="19050">
                <a:solidFill>
                  <a:schemeClr val="accent4">
                    <a:lumMod val="70000"/>
                    <a:lumMod val="75000"/>
                  </a:schemeClr>
                </a:solidFill>
              </a:ln>
              <a:effectLst>
                <a:innerShdw blurRad="114300">
                  <a:schemeClr val="accent4">
                    <a:lumMod val="70000"/>
                    <a:lumMod val="75000"/>
                  </a:schemeClr>
                </a:innerShdw>
              </a:effectLst>
              <a:scene3d>
                <a:camera prst="orthographicFront"/>
                <a:lightRig rig="threePt" dir="t"/>
              </a:scene3d>
              <a:sp3d contourW="19050" prstMaterial="flat">
                <a:contourClr>
                  <a:schemeClr val="accent4">
                    <a:lumMod val="70000"/>
                    <a:lumMod val="75000"/>
                  </a:schemeClr>
                </a:contourClr>
              </a:sp3d>
            </c:spPr>
            <c:extLst>
              <c:ext xmlns:c16="http://schemas.microsoft.com/office/drawing/2014/chart" uri="{C3380CC4-5D6E-409C-BE32-E72D297353CC}">
                <c16:uniqueId val="{000000C7-3866-0D4D-BB6B-71AF7F2926C7}"/>
              </c:ext>
            </c:extLst>
          </c:dPt>
          <c:dLbls>
            <c:dLbl>
              <c:idx val="0"/>
              <c:layout>
                <c:manualLayout>
                  <c:x val="1.3927918259173978E-3"/>
                  <c:y val="-2.0802175501258218E-2"/>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fld id="{6EA03C4D-1B24-894A-B87F-02E81FD894EB}" type="CATEGORYNAME">
                      <a:rPr lang="en-US"/>
                      <a:pPr>
                        <a:defRPr/>
                      </a:pPr>
                      <a:t>[CATEGORY NAME]</a:t>
                    </a:fld>
                    <a:r>
                      <a:rPr lang="en-US" baseline="0"/>
                      <a:t>
</a:t>
                    </a:r>
                  </a:p>
                </c:rich>
              </c:tx>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A"/>
                </a:p>
              </c:txPr>
              <c:dLblPos val="bestFit"/>
              <c:showLegendKey val="0"/>
              <c:showVal val="0"/>
              <c:showCatName val="1"/>
              <c:showSerName val="0"/>
              <c:showPercent val="1"/>
              <c:showBubbleSize val="0"/>
              <c:extLst>
                <c:ext xmlns:c15="http://schemas.microsoft.com/office/drawing/2012/chart" uri="{CE6537A1-D6FC-4f65-9D91-7224C49458BB}">
                  <c15:layout>
                    <c:manualLayout>
                      <c:w val="0.29051377952755908"/>
                      <c:h val="0.11206036745406824"/>
                    </c:manualLayout>
                  </c15:layout>
                  <c15:dlblFieldTable/>
                  <c15:showDataLabelsRange val="0"/>
                </c:ext>
                <c:ext xmlns:c16="http://schemas.microsoft.com/office/drawing/2014/chart" uri="{C3380CC4-5D6E-409C-BE32-E72D297353CC}">
                  <c16:uniqueId val="{00000001-3866-0D4D-BB6B-71AF7F2926C7}"/>
                </c:ext>
              </c:extLst>
            </c:dLbl>
            <c:dLbl>
              <c:idx val="1"/>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3-3866-0D4D-BB6B-71AF7F2926C7}"/>
                </c:ext>
              </c:extLst>
            </c:dLbl>
            <c:dLbl>
              <c:idx val="2"/>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5-3866-0D4D-BB6B-71AF7F2926C7}"/>
                </c:ext>
              </c:extLst>
            </c:dLbl>
            <c:dLbl>
              <c:idx val="3"/>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7-3866-0D4D-BB6B-71AF7F2926C7}"/>
                </c:ext>
              </c:extLst>
            </c:dLbl>
            <c:dLbl>
              <c:idx val="4"/>
              <c:layout>
                <c:manualLayout>
                  <c:x val="0.11315448597094373"/>
                  <c:y val="0.14559152029073288"/>
                </c:manualLayout>
              </c:layout>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A"/>
                </a:p>
              </c:txPr>
              <c:dLblPos val="bestFit"/>
              <c:showLegendKey val="0"/>
              <c:showVal val="0"/>
              <c:showCatName val="1"/>
              <c:showSerName val="0"/>
              <c:showPercent val="1"/>
              <c:showBubbleSize val="0"/>
              <c:extLst>
                <c:ext xmlns:c15="http://schemas.microsoft.com/office/drawing/2012/chart" uri="{CE6537A1-D6FC-4f65-9D91-7224C49458BB}">
                  <c15:layout>
                    <c:manualLayout>
                      <c:w val="0.20708173450149717"/>
                      <c:h val="0.12689812235009085"/>
                    </c:manualLayout>
                  </c15:layout>
                </c:ext>
                <c:ext xmlns:c16="http://schemas.microsoft.com/office/drawing/2014/chart" uri="{C3380CC4-5D6E-409C-BE32-E72D297353CC}">
                  <c16:uniqueId val="{00000009-3866-0D4D-BB6B-71AF7F2926C7}"/>
                </c:ext>
              </c:extLst>
            </c:dLbl>
            <c:dLbl>
              <c:idx val="5"/>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B-3866-0D4D-BB6B-71AF7F2926C7}"/>
                </c:ext>
              </c:extLst>
            </c:dLbl>
            <c:dLbl>
              <c:idx val="6"/>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D-3866-0D4D-BB6B-71AF7F2926C7}"/>
                </c:ext>
              </c:extLst>
            </c:dLbl>
            <c:dLbl>
              <c:idx val="7"/>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0F-3866-0D4D-BB6B-71AF7F2926C7}"/>
                </c:ext>
              </c:extLst>
            </c:dLbl>
            <c:dLbl>
              <c:idx val="8"/>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1-3866-0D4D-BB6B-71AF7F2926C7}"/>
                </c:ext>
              </c:extLst>
            </c:dLbl>
            <c:dLbl>
              <c:idx val="9"/>
              <c:spPr>
                <a:solidFill>
                  <a:schemeClr val="lt1">
                    <a:alpha val="90000"/>
                  </a:schemeClr>
                </a:solidFill>
                <a:ln w="12700" cap="flat" cmpd="sng" algn="ctr">
                  <a:solidFill>
                    <a:schemeClr val="accent4">
                      <a:lumMod val="60000"/>
                    </a:schemeClr>
                  </a:solidFill>
                  <a:round/>
                </a:ln>
                <a:effectLst>
                  <a:outerShdw blurRad="50800" dist="38100" dir="2700000" algn="tl" rotWithShape="0">
                    <a:schemeClr val="accent4">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3-3866-0D4D-BB6B-71AF7F2926C7}"/>
                </c:ext>
              </c:extLst>
            </c:dLbl>
            <c:dLbl>
              <c:idx val="10"/>
              <c:spPr>
                <a:solidFill>
                  <a:schemeClr val="lt1">
                    <a:alpha val="90000"/>
                  </a:schemeClr>
                </a:solidFill>
                <a:ln w="12700" cap="flat" cmpd="sng" algn="ctr">
                  <a:solidFill>
                    <a:schemeClr val="accent5">
                      <a:lumMod val="60000"/>
                    </a:schemeClr>
                  </a:solidFill>
                  <a:round/>
                </a:ln>
                <a:effectLst>
                  <a:outerShdw blurRad="50800" dist="38100" dir="2700000" algn="tl" rotWithShape="0">
                    <a:schemeClr val="accent5">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5-3866-0D4D-BB6B-71AF7F2926C7}"/>
                </c:ext>
              </c:extLst>
            </c:dLbl>
            <c:dLbl>
              <c:idx val="11"/>
              <c:spPr>
                <a:solidFill>
                  <a:schemeClr val="lt1">
                    <a:alpha val="90000"/>
                  </a:schemeClr>
                </a:solidFill>
                <a:ln w="12700" cap="flat" cmpd="sng" algn="ctr">
                  <a:solidFill>
                    <a:schemeClr val="accent6">
                      <a:lumMod val="60000"/>
                    </a:schemeClr>
                  </a:solidFill>
                  <a:round/>
                </a:ln>
                <a:effectLst>
                  <a:outerShdw blurRad="50800" dist="38100" dir="2700000" algn="tl" rotWithShape="0">
                    <a:schemeClr val="accent6">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7-3866-0D4D-BB6B-71AF7F2926C7}"/>
                </c:ext>
              </c:extLst>
            </c:dLbl>
            <c:dLbl>
              <c:idx val="12"/>
              <c:spPr>
                <a:solidFill>
                  <a:schemeClr val="lt1">
                    <a:alpha val="90000"/>
                  </a:schemeClr>
                </a:solidFill>
                <a:ln w="12700" cap="flat" cmpd="sng" algn="ctr">
                  <a:solidFill>
                    <a:schemeClr val="accent1">
                      <a:lumMod val="80000"/>
                      <a:lumOff val="20000"/>
                    </a:schemeClr>
                  </a:solidFill>
                  <a:round/>
                </a:ln>
                <a:effectLst>
                  <a:outerShdw blurRad="50800" dist="38100" dir="2700000" algn="tl" rotWithShape="0">
                    <a:schemeClr val="accent1">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9-3866-0D4D-BB6B-71AF7F2926C7}"/>
                </c:ext>
              </c:extLst>
            </c:dLbl>
            <c:dLbl>
              <c:idx val="13"/>
              <c:spPr>
                <a:solidFill>
                  <a:schemeClr val="lt1">
                    <a:alpha val="90000"/>
                  </a:schemeClr>
                </a:solidFill>
                <a:ln w="12700" cap="flat" cmpd="sng" algn="ctr">
                  <a:solidFill>
                    <a:schemeClr val="accent2">
                      <a:lumMod val="80000"/>
                      <a:lumOff val="20000"/>
                    </a:schemeClr>
                  </a:solidFill>
                  <a:round/>
                </a:ln>
                <a:effectLst>
                  <a:outerShdw blurRad="50800" dist="38100" dir="2700000" algn="tl" rotWithShape="0">
                    <a:schemeClr val="accent2">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B-3866-0D4D-BB6B-71AF7F2926C7}"/>
                </c:ext>
              </c:extLst>
            </c:dLbl>
            <c:dLbl>
              <c:idx val="14"/>
              <c:spPr>
                <a:solidFill>
                  <a:schemeClr val="lt1">
                    <a:alpha val="90000"/>
                  </a:schemeClr>
                </a:solidFill>
                <a:ln w="12700" cap="flat" cmpd="sng" algn="ctr">
                  <a:solidFill>
                    <a:schemeClr val="accent3">
                      <a:lumMod val="80000"/>
                      <a:lumOff val="20000"/>
                    </a:schemeClr>
                  </a:solidFill>
                  <a:round/>
                </a:ln>
                <a:effectLst>
                  <a:outerShdw blurRad="50800" dist="38100" dir="2700000" algn="tl" rotWithShape="0">
                    <a:schemeClr val="accent3">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D-3866-0D4D-BB6B-71AF7F2926C7}"/>
                </c:ext>
              </c:extLst>
            </c:dLbl>
            <c:dLbl>
              <c:idx val="15"/>
              <c:spPr>
                <a:solidFill>
                  <a:schemeClr val="lt1">
                    <a:alpha val="90000"/>
                  </a:schemeClr>
                </a:solidFill>
                <a:ln w="12700" cap="flat" cmpd="sng" algn="ctr">
                  <a:solidFill>
                    <a:schemeClr val="accent4">
                      <a:lumMod val="80000"/>
                      <a:lumOff val="20000"/>
                    </a:schemeClr>
                  </a:solidFill>
                  <a:round/>
                </a:ln>
                <a:effectLst>
                  <a:outerShdw blurRad="50800" dist="38100" dir="2700000" algn="tl" rotWithShape="0">
                    <a:schemeClr val="accent4">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1F-3866-0D4D-BB6B-71AF7F2926C7}"/>
                </c:ext>
              </c:extLst>
            </c:dLbl>
            <c:dLbl>
              <c:idx val="16"/>
              <c:spPr>
                <a:solidFill>
                  <a:schemeClr val="lt1">
                    <a:alpha val="90000"/>
                  </a:schemeClr>
                </a:solidFill>
                <a:ln w="12700" cap="flat" cmpd="sng" algn="ctr">
                  <a:solidFill>
                    <a:schemeClr val="accent5">
                      <a:lumMod val="80000"/>
                      <a:lumOff val="20000"/>
                    </a:schemeClr>
                  </a:solidFill>
                  <a:round/>
                </a:ln>
                <a:effectLst>
                  <a:outerShdw blurRad="50800" dist="38100" dir="2700000" algn="tl" rotWithShape="0">
                    <a:schemeClr val="accent5">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1-3866-0D4D-BB6B-71AF7F2926C7}"/>
                </c:ext>
              </c:extLst>
            </c:dLbl>
            <c:dLbl>
              <c:idx val="17"/>
              <c:spPr>
                <a:solidFill>
                  <a:schemeClr val="lt1">
                    <a:alpha val="90000"/>
                  </a:schemeClr>
                </a:solidFill>
                <a:ln w="12700" cap="flat" cmpd="sng" algn="ctr">
                  <a:solidFill>
                    <a:schemeClr val="accent6">
                      <a:lumMod val="80000"/>
                      <a:lumOff val="20000"/>
                    </a:schemeClr>
                  </a:solidFill>
                  <a:round/>
                </a:ln>
                <a:effectLst>
                  <a:outerShdw blurRad="50800" dist="38100" dir="2700000" algn="tl" rotWithShape="0">
                    <a:schemeClr val="accent6">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3-3866-0D4D-BB6B-71AF7F2926C7}"/>
                </c:ext>
              </c:extLst>
            </c:dLbl>
            <c:dLbl>
              <c:idx val="18"/>
              <c:spPr>
                <a:solidFill>
                  <a:schemeClr val="lt1">
                    <a:alpha val="90000"/>
                  </a:schemeClr>
                </a:solidFill>
                <a:ln w="12700" cap="flat" cmpd="sng" algn="ctr">
                  <a:solidFill>
                    <a:schemeClr val="accent1">
                      <a:lumMod val="80000"/>
                    </a:schemeClr>
                  </a:solidFill>
                  <a:round/>
                </a:ln>
                <a:effectLst>
                  <a:outerShdw blurRad="50800" dist="38100" dir="2700000" algn="tl" rotWithShape="0">
                    <a:schemeClr val="accent1">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5-3866-0D4D-BB6B-71AF7F2926C7}"/>
                </c:ext>
              </c:extLst>
            </c:dLbl>
            <c:dLbl>
              <c:idx val="19"/>
              <c:spPr>
                <a:solidFill>
                  <a:schemeClr val="lt1">
                    <a:alpha val="90000"/>
                  </a:schemeClr>
                </a:solidFill>
                <a:ln w="12700" cap="flat" cmpd="sng" algn="ctr">
                  <a:solidFill>
                    <a:schemeClr val="accent2">
                      <a:lumMod val="80000"/>
                    </a:schemeClr>
                  </a:solidFill>
                  <a:round/>
                </a:ln>
                <a:effectLst>
                  <a:outerShdw blurRad="50800" dist="38100" dir="2700000" algn="tl" rotWithShape="0">
                    <a:schemeClr val="accent2">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7-3866-0D4D-BB6B-71AF7F2926C7}"/>
                </c:ext>
              </c:extLst>
            </c:dLbl>
            <c:dLbl>
              <c:idx val="20"/>
              <c:spPr>
                <a:solidFill>
                  <a:schemeClr val="lt1">
                    <a:alpha val="90000"/>
                  </a:schemeClr>
                </a:solidFill>
                <a:ln w="12700" cap="flat" cmpd="sng" algn="ctr">
                  <a:solidFill>
                    <a:schemeClr val="accent3">
                      <a:lumMod val="80000"/>
                    </a:schemeClr>
                  </a:solidFill>
                  <a:round/>
                </a:ln>
                <a:effectLst>
                  <a:outerShdw blurRad="50800" dist="38100" dir="2700000" algn="tl" rotWithShape="0">
                    <a:schemeClr val="accent3">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9-3866-0D4D-BB6B-71AF7F2926C7}"/>
                </c:ext>
              </c:extLst>
            </c:dLbl>
            <c:dLbl>
              <c:idx val="21"/>
              <c:spPr>
                <a:solidFill>
                  <a:schemeClr val="lt1">
                    <a:alpha val="90000"/>
                  </a:schemeClr>
                </a:solidFill>
                <a:ln w="12700" cap="flat" cmpd="sng" algn="ctr">
                  <a:solidFill>
                    <a:schemeClr val="accent4">
                      <a:lumMod val="80000"/>
                    </a:schemeClr>
                  </a:solidFill>
                  <a:round/>
                </a:ln>
                <a:effectLst>
                  <a:outerShdw blurRad="50800" dist="38100" dir="2700000" algn="tl" rotWithShape="0">
                    <a:schemeClr val="accent4">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B-3866-0D4D-BB6B-71AF7F2926C7}"/>
                </c:ext>
              </c:extLst>
            </c:dLbl>
            <c:dLbl>
              <c:idx val="22"/>
              <c:spPr>
                <a:solidFill>
                  <a:schemeClr val="lt1">
                    <a:alpha val="90000"/>
                  </a:schemeClr>
                </a:solidFill>
                <a:ln w="12700" cap="flat" cmpd="sng" algn="ctr">
                  <a:solidFill>
                    <a:schemeClr val="accent5">
                      <a:lumMod val="80000"/>
                    </a:schemeClr>
                  </a:solidFill>
                  <a:round/>
                </a:ln>
                <a:effectLst>
                  <a:outerShdw blurRad="50800" dist="38100" dir="2700000" algn="tl" rotWithShape="0">
                    <a:schemeClr val="accent5">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D-3866-0D4D-BB6B-71AF7F2926C7}"/>
                </c:ext>
              </c:extLst>
            </c:dLbl>
            <c:dLbl>
              <c:idx val="23"/>
              <c:spPr>
                <a:solidFill>
                  <a:schemeClr val="lt1">
                    <a:alpha val="90000"/>
                  </a:schemeClr>
                </a:solidFill>
                <a:ln w="12700" cap="flat" cmpd="sng" algn="ctr">
                  <a:solidFill>
                    <a:schemeClr val="accent6">
                      <a:lumMod val="80000"/>
                    </a:schemeClr>
                  </a:solidFill>
                  <a:round/>
                </a:ln>
                <a:effectLst>
                  <a:outerShdw blurRad="50800" dist="38100" dir="2700000" algn="tl" rotWithShape="0">
                    <a:schemeClr val="accent6">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2F-3866-0D4D-BB6B-71AF7F2926C7}"/>
                </c:ext>
              </c:extLst>
            </c:dLbl>
            <c:dLbl>
              <c:idx val="24"/>
              <c:spPr>
                <a:solidFill>
                  <a:schemeClr val="lt1">
                    <a:alpha val="90000"/>
                  </a:schemeClr>
                </a:solidFill>
                <a:ln w="12700" cap="flat" cmpd="sng" algn="ctr">
                  <a:solidFill>
                    <a:schemeClr val="accent1">
                      <a:lumMod val="60000"/>
                      <a:lumOff val="40000"/>
                    </a:schemeClr>
                  </a:solidFill>
                  <a:round/>
                </a:ln>
                <a:effectLst>
                  <a:outerShdw blurRad="50800" dist="38100" dir="2700000" algn="tl" rotWithShape="0">
                    <a:schemeClr val="accent1">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1-3866-0D4D-BB6B-71AF7F2926C7}"/>
                </c:ext>
              </c:extLst>
            </c:dLbl>
            <c:dLbl>
              <c:idx val="25"/>
              <c:spPr>
                <a:solidFill>
                  <a:schemeClr val="lt1">
                    <a:alpha val="90000"/>
                  </a:schemeClr>
                </a:solidFill>
                <a:ln w="12700" cap="flat" cmpd="sng" algn="ctr">
                  <a:solidFill>
                    <a:schemeClr val="accent2">
                      <a:lumMod val="60000"/>
                      <a:lumOff val="40000"/>
                    </a:schemeClr>
                  </a:solidFill>
                  <a:round/>
                </a:ln>
                <a:effectLst>
                  <a:outerShdw blurRad="50800" dist="38100" dir="2700000" algn="tl" rotWithShape="0">
                    <a:schemeClr val="accent2">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3-3866-0D4D-BB6B-71AF7F2926C7}"/>
                </c:ext>
              </c:extLst>
            </c:dLbl>
            <c:dLbl>
              <c:idx val="26"/>
              <c:spPr>
                <a:solidFill>
                  <a:schemeClr val="lt1">
                    <a:alpha val="90000"/>
                  </a:schemeClr>
                </a:solidFill>
                <a:ln w="12700" cap="flat" cmpd="sng" algn="ctr">
                  <a:solidFill>
                    <a:schemeClr val="accent3">
                      <a:lumMod val="60000"/>
                      <a:lumOff val="40000"/>
                    </a:schemeClr>
                  </a:solidFill>
                  <a:round/>
                </a:ln>
                <a:effectLst>
                  <a:outerShdw blurRad="50800" dist="38100" dir="2700000" algn="tl" rotWithShape="0">
                    <a:schemeClr val="accent3">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5-3866-0D4D-BB6B-71AF7F2926C7}"/>
                </c:ext>
              </c:extLst>
            </c:dLbl>
            <c:dLbl>
              <c:idx val="27"/>
              <c:spPr>
                <a:solidFill>
                  <a:schemeClr val="lt1">
                    <a:alpha val="90000"/>
                  </a:schemeClr>
                </a:solidFill>
                <a:ln w="12700" cap="flat" cmpd="sng" algn="ctr">
                  <a:solidFill>
                    <a:schemeClr val="accent4">
                      <a:lumMod val="60000"/>
                      <a:lumOff val="40000"/>
                    </a:schemeClr>
                  </a:solidFill>
                  <a:round/>
                </a:ln>
                <a:effectLst>
                  <a:outerShdw blurRad="50800" dist="38100" dir="2700000" algn="tl" rotWithShape="0">
                    <a:schemeClr val="accent4">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7-3866-0D4D-BB6B-71AF7F2926C7}"/>
                </c:ext>
              </c:extLst>
            </c:dLbl>
            <c:dLbl>
              <c:idx val="28"/>
              <c:spPr>
                <a:solidFill>
                  <a:schemeClr val="lt1">
                    <a:alpha val="90000"/>
                  </a:schemeClr>
                </a:solidFill>
                <a:ln w="12700" cap="flat" cmpd="sng" algn="ctr">
                  <a:solidFill>
                    <a:schemeClr val="accent5">
                      <a:lumMod val="60000"/>
                      <a:lumOff val="40000"/>
                    </a:schemeClr>
                  </a:solidFill>
                  <a:round/>
                </a:ln>
                <a:effectLst>
                  <a:outerShdw blurRad="50800" dist="38100" dir="2700000" algn="tl" rotWithShape="0">
                    <a:schemeClr val="accent5">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9-3866-0D4D-BB6B-71AF7F2926C7}"/>
                </c:ext>
              </c:extLst>
            </c:dLbl>
            <c:dLbl>
              <c:idx val="29"/>
              <c:spPr>
                <a:solidFill>
                  <a:schemeClr val="lt1">
                    <a:alpha val="90000"/>
                  </a:schemeClr>
                </a:solidFill>
                <a:ln w="12700" cap="flat" cmpd="sng" algn="ctr">
                  <a:solidFill>
                    <a:schemeClr val="accent6">
                      <a:lumMod val="60000"/>
                      <a:lumOff val="40000"/>
                    </a:schemeClr>
                  </a:solidFill>
                  <a:round/>
                </a:ln>
                <a:effectLst>
                  <a:outerShdw blurRad="50800" dist="38100" dir="2700000" algn="tl" rotWithShape="0">
                    <a:schemeClr val="accent6">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B-3866-0D4D-BB6B-71AF7F2926C7}"/>
                </c:ext>
              </c:extLst>
            </c:dLbl>
            <c:dLbl>
              <c:idx val="30"/>
              <c:spPr>
                <a:solidFill>
                  <a:schemeClr val="lt1">
                    <a:alpha val="90000"/>
                  </a:schemeClr>
                </a:solidFill>
                <a:ln w="12700" cap="flat" cmpd="sng" algn="ctr">
                  <a:solidFill>
                    <a:schemeClr val="accent1">
                      <a:lumMod val="50000"/>
                    </a:schemeClr>
                  </a:solidFill>
                  <a:round/>
                </a:ln>
                <a:effectLst>
                  <a:outerShdw blurRad="50800" dist="38100" dir="2700000" algn="tl" rotWithShape="0">
                    <a:schemeClr val="accent1">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D-3866-0D4D-BB6B-71AF7F2926C7}"/>
                </c:ext>
              </c:extLst>
            </c:dLbl>
            <c:dLbl>
              <c:idx val="31"/>
              <c:spPr>
                <a:solidFill>
                  <a:schemeClr val="lt1">
                    <a:alpha val="90000"/>
                  </a:schemeClr>
                </a:solidFill>
                <a:ln w="12700" cap="flat" cmpd="sng" algn="ctr">
                  <a:solidFill>
                    <a:schemeClr val="accent2">
                      <a:lumMod val="50000"/>
                    </a:schemeClr>
                  </a:solidFill>
                  <a:round/>
                </a:ln>
                <a:effectLst>
                  <a:outerShdw blurRad="50800" dist="38100" dir="2700000" algn="tl" rotWithShape="0">
                    <a:schemeClr val="accent2">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3F-3866-0D4D-BB6B-71AF7F2926C7}"/>
                </c:ext>
              </c:extLst>
            </c:dLbl>
            <c:dLbl>
              <c:idx val="32"/>
              <c:spPr>
                <a:solidFill>
                  <a:schemeClr val="lt1">
                    <a:alpha val="90000"/>
                  </a:schemeClr>
                </a:solidFill>
                <a:ln w="12700" cap="flat" cmpd="sng" algn="ctr">
                  <a:solidFill>
                    <a:schemeClr val="accent3">
                      <a:lumMod val="50000"/>
                    </a:schemeClr>
                  </a:solidFill>
                  <a:round/>
                </a:ln>
                <a:effectLst>
                  <a:outerShdw blurRad="50800" dist="38100" dir="2700000" algn="tl" rotWithShape="0">
                    <a:schemeClr val="accent3">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1-3866-0D4D-BB6B-71AF7F2926C7}"/>
                </c:ext>
              </c:extLst>
            </c:dLbl>
            <c:dLbl>
              <c:idx val="33"/>
              <c:spPr>
                <a:solidFill>
                  <a:schemeClr val="lt1">
                    <a:alpha val="90000"/>
                  </a:schemeClr>
                </a:solidFill>
                <a:ln w="12700" cap="flat" cmpd="sng" algn="ctr">
                  <a:solidFill>
                    <a:schemeClr val="accent4">
                      <a:lumMod val="50000"/>
                    </a:schemeClr>
                  </a:solidFill>
                  <a:round/>
                </a:ln>
                <a:effectLst>
                  <a:outerShdw blurRad="50800" dist="38100" dir="2700000" algn="tl" rotWithShape="0">
                    <a:schemeClr val="accent4">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3-3866-0D4D-BB6B-71AF7F2926C7}"/>
                </c:ext>
              </c:extLst>
            </c:dLbl>
            <c:dLbl>
              <c:idx val="34"/>
              <c:spPr>
                <a:solidFill>
                  <a:schemeClr val="lt1">
                    <a:alpha val="90000"/>
                  </a:schemeClr>
                </a:solidFill>
                <a:ln w="12700" cap="flat" cmpd="sng" algn="ctr">
                  <a:solidFill>
                    <a:schemeClr val="accent5">
                      <a:lumMod val="50000"/>
                    </a:schemeClr>
                  </a:solidFill>
                  <a:round/>
                </a:ln>
                <a:effectLst>
                  <a:outerShdw blurRad="50800" dist="38100" dir="2700000" algn="tl" rotWithShape="0">
                    <a:schemeClr val="accent5">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5-3866-0D4D-BB6B-71AF7F2926C7}"/>
                </c:ext>
              </c:extLst>
            </c:dLbl>
            <c:dLbl>
              <c:idx val="35"/>
              <c:spPr>
                <a:solidFill>
                  <a:schemeClr val="lt1">
                    <a:alpha val="90000"/>
                  </a:schemeClr>
                </a:solidFill>
                <a:ln w="12700" cap="flat" cmpd="sng" algn="ctr">
                  <a:solidFill>
                    <a:schemeClr val="accent6">
                      <a:lumMod val="50000"/>
                    </a:schemeClr>
                  </a:solidFill>
                  <a:round/>
                </a:ln>
                <a:effectLst>
                  <a:outerShdw blurRad="50800" dist="38100" dir="2700000" algn="tl" rotWithShape="0">
                    <a:schemeClr val="accent6">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7-3866-0D4D-BB6B-71AF7F2926C7}"/>
                </c:ext>
              </c:extLst>
            </c:dLbl>
            <c:dLbl>
              <c:idx val="36"/>
              <c:spPr>
                <a:solidFill>
                  <a:schemeClr val="lt1">
                    <a:alpha val="90000"/>
                  </a:schemeClr>
                </a:solidFill>
                <a:ln w="12700" cap="flat" cmpd="sng" algn="ctr">
                  <a:solidFill>
                    <a:schemeClr val="accent1">
                      <a:lumMod val="70000"/>
                      <a:lumOff val="30000"/>
                    </a:schemeClr>
                  </a:solidFill>
                  <a:round/>
                </a:ln>
                <a:effectLst>
                  <a:outerShdw blurRad="50800" dist="38100" dir="2700000" algn="tl" rotWithShape="0">
                    <a:schemeClr val="accent1">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9-3866-0D4D-BB6B-71AF7F2926C7}"/>
                </c:ext>
              </c:extLst>
            </c:dLbl>
            <c:dLbl>
              <c:idx val="37"/>
              <c:spPr>
                <a:solidFill>
                  <a:schemeClr val="lt1">
                    <a:alpha val="90000"/>
                  </a:schemeClr>
                </a:solidFill>
                <a:ln w="12700" cap="flat" cmpd="sng" algn="ctr">
                  <a:solidFill>
                    <a:schemeClr val="accent2">
                      <a:lumMod val="70000"/>
                      <a:lumOff val="30000"/>
                    </a:schemeClr>
                  </a:solidFill>
                  <a:round/>
                </a:ln>
                <a:effectLst>
                  <a:outerShdw blurRad="50800" dist="38100" dir="2700000" algn="tl" rotWithShape="0">
                    <a:schemeClr val="accent2">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B-3866-0D4D-BB6B-71AF7F2926C7}"/>
                </c:ext>
              </c:extLst>
            </c:dLbl>
            <c:dLbl>
              <c:idx val="38"/>
              <c:spPr>
                <a:solidFill>
                  <a:schemeClr val="lt1">
                    <a:alpha val="90000"/>
                  </a:schemeClr>
                </a:solidFill>
                <a:ln w="12700" cap="flat" cmpd="sng" algn="ctr">
                  <a:solidFill>
                    <a:schemeClr val="accent3">
                      <a:lumMod val="70000"/>
                      <a:lumOff val="30000"/>
                    </a:schemeClr>
                  </a:solidFill>
                  <a:round/>
                </a:ln>
                <a:effectLst>
                  <a:outerShdw blurRad="50800" dist="38100" dir="2700000" algn="tl" rotWithShape="0">
                    <a:schemeClr val="accent3">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D-3866-0D4D-BB6B-71AF7F2926C7}"/>
                </c:ext>
              </c:extLst>
            </c:dLbl>
            <c:dLbl>
              <c:idx val="39"/>
              <c:spPr>
                <a:solidFill>
                  <a:schemeClr val="lt1">
                    <a:alpha val="90000"/>
                  </a:schemeClr>
                </a:solidFill>
                <a:ln w="12700" cap="flat" cmpd="sng" algn="ctr">
                  <a:solidFill>
                    <a:schemeClr val="accent4">
                      <a:lumMod val="70000"/>
                      <a:lumOff val="30000"/>
                    </a:schemeClr>
                  </a:solidFill>
                  <a:round/>
                </a:ln>
                <a:effectLst>
                  <a:outerShdw blurRad="50800" dist="38100" dir="2700000" algn="tl" rotWithShape="0">
                    <a:schemeClr val="accent4">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4F-3866-0D4D-BB6B-71AF7F2926C7}"/>
                </c:ext>
              </c:extLst>
            </c:dLbl>
            <c:dLbl>
              <c:idx val="40"/>
              <c:spPr>
                <a:solidFill>
                  <a:schemeClr val="lt1">
                    <a:alpha val="90000"/>
                  </a:schemeClr>
                </a:solidFill>
                <a:ln w="12700" cap="flat" cmpd="sng" algn="ctr">
                  <a:solidFill>
                    <a:schemeClr val="accent5">
                      <a:lumMod val="70000"/>
                      <a:lumOff val="30000"/>
                    </a:schemeClr>
                  </a:solidFill>
                  <a:round/>
                </a:ln>
                <a:effectLst>
                  <a:outerShdw blurRad="50800" dist="38100" dir="2700000" algn="tl" rotWithShape="0">
                    <a:schemeClr val="accent5">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1-3866-0D4D-BB6B-71AF7F2926C7}"/>
                </c:ext>
              </c:extLst>
            </c:dLbl>
            <c:dLbl>
              <c:idx val="41"/>
              <c:spPr>
                <a:solidFill>
                  <a:schemeClr val="lt1">
                    <a:alpha val="90000"/>
                  </a:schemeClr>
                </a:solidFill>
                <a:ln w="12700" cap="flat" cmpd="sng" algn="ctr">
                  <a:solidFill>
                    <a:schemeClr val="accent6">
                      <a:lumMod val="70000"/>
                      <a:lumOff val="30000"/>
                    </a:schemeClr>
                  </a:solidFill>
                  <a:round/>
                </a:ln>
                <a:effectLst>
                  <a:outerShdw blurRad="50800" dist="38100" dir="2700000" algn="tl" rotWithShape="0">
                    <a:schemeClr val="accent6">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3-3866-0D4D-BB6B-71AF7F2926C7}"/>
                </c:ext>
              </c:extLst>
            </c:dLbl>
            <c:dLbl>
              <c:idx val="42"/>
              <c:spPr>
                <a:solidFill>
                  <a:schemeClr val="lt1">
                    <a:alpha val="90000"/>
                  </a:schemeClr>
                </a:solidFill>
                <a:ln w="12700" cap="flat" cmpd="sng" algn="ctr">
                  <a:solidFill>
                    <a:schemeClr val="accent1">
                      <a:lumMod val="70000"/>
                    </a:schemeClr>
                  </a:solidFill>
                  <a:round/>
                </a:ln>
                <a:effectLst>
                  <a:outerShdw blurRad="50800" dist="38100" dir="2700000" algn="tl" rotWithShape="0">
                    <a:schemeClr val="accent1">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5-3866-0D4D-BB6B-71AF7F2926C7}"/>
                </c:ext>
              </c:extLst>
            </c:dLbl>
            <c:dLbl>
              <c:idx val="43"/>
              <c:spPr>
                <a:solidFill>
                  <a:schemeClr val="lt1">
                    <a:alpha val="90000"/>
                  </a:schemeClr>
                </a:solidFill>
                <a:ln w="12700" cap="flat" cmpd="sng" algn="ctr">
                  <a:solidFill>
                    <a:schemeClr val="accent2">
                      <a:lumMod val="70000"/>
                    </a:schemeClr>
                  </a:solidFill>
                  <a:round/>
                </a:ln>
                <a:effectLst>
                  <a:outerShdw blurRad="50800" dist="38100" dir="2700000" algn="tl" rotWithShape="0">
                    <a:schemeClr val="accent2">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7-3866-0D4D-BB6B-71AF7F2926C7}"/>
                </c:ext>
              </c:extLst>
            </c:dLbl>
            <c:dLbl>
              <c:idx val="44"/>
              <c:spPr>
                <a:solidFill>
                  <a:schemeClr val="lt1">
                    <a:alpha val="90000"/>
                  </a:schemeClr>
                </a:solidFill>
                <a:ln w="12700" cap="flat" cmpd="sng" algn="ctr">
                  <a:solidFill>
                    <a:schemeClr val="accent3">
                      <a:lumMod val="70000"/>
                    </a:schemeClr>
                  </a:solidFill>
                  <a:round/>
                </a:ln>
                <a:effectLst>
                  <a:outerShdw blurRad="50800" dist="38100" dir="2700000" algn="tl" rotWithShape="0">
                    <a:schemeClr val="accent3">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9-3866-0D4D-BB6B-71AF7F2926C7}"/>
                </c:ext>
              </c:extLst>
            </c:dLbl>
            <c:dLbl>
              <c:idx val="45"/>
              <c:spPr>
                <a:solidFill>
                  <a:schemeClr val="lt1">
                    <a:alpha val="90000"/>
                  </a:schemeClr>
                </a:solidFill>
                <a:ln w="12700" cap="flat" cmpd="sng" algn="ctr">
                  <a:solidFill>
                    <a:schemeClr val="accent4">
                      <a:lumMod val="70000"/>
                    </a:schemeClr>
                  </a:solidFill>
                  <a:round/>
                </a:ln>
                <a:effectLst>
                  <a:outerShdw blurRad="50800" dist="38100" dir="2700000" algn="tl" rotWithShape="0">
                    <a:schemeClr val="accent4">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B-3866-0D4D-BB6B-71AF7F2926C7}"/>
                </c:ext>
              </c:extLst>
            </c:dLbl>
            <c:dLbl>
              <c:idx val="46"/>
              <c:spPr>
                <a:solidFill>
                  <a:schemeClr val="lt1">
                    <a:alpha val="90000"/>
                  </a:schemeClr>
                </a:solidFill>
                <a:ln w="12700" cap="flat" cmpd="sng" algn="ctr">
                  <a:solidFill>
                    <a:schemeClr val="accent5">
                      <a:lumMod val="70000"/>
                    </a:schemeClr>
                  </a:solidFill>
                  <a:round/>
                </a:ln>
                <a:effectLst>
                  <a:outerShdw blurRad="50800" dist="38100" dir="2700000" algn="tl" rotWithShape="0">
                    <a:schemeClr val="accent5">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D-3866-0D4D-BB6B-71AF7F2926C7}"/>
                </c:ext>
              </c:extLst>
            </c:dLbl>
            <c:dLbl>
              <c:idx val="47"/>
              <c:spPr>
                <a:solidFill>
                  <a:schemeClr val="lt1">
                    <a:alpha val="90000"/>
                  </a:schemeClr>
                </a:solidFill>
                <a:ln w="12700" cap="flat" cmpd="sng" algn="ctr">
                  <a:solidFill>
                    <a:schemeClr val="accent6">
                      <a:lumMod val="70000"/>
                    </a:schemeClr>
                  </a:solidFill>
                  <a:round/>
                </a:ln>
                <a:effectLst>
                  <a:outerShdw blurRad="50800" dist="38100" dir="2700000" algn="tl" rotWithShape="0">
                    <a:schemeClr val="accent6">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5F-3866-0D4D-BB6B-71AF7F2926C7}"/>
                </c:ext>
              </c:extLst>
            </c:dLbl>
            <c:dLbl>
              <c:idx val="48"/>
              <c:spPr>
                <a:solidFill>
                  <a:schemeClr val="lt1">
                    <a:alpha val="90000"/>
                  </a:schemeClr>
                </a:solidFill>
                <a:ln w="12700" cap="flat" cmpd="sng" algn="ctr">
                  <a:solidFill>
                    <a:schemeClr val="accent1">
                      <a:lumMod val="50000"/>
                      <a:lumOff val="50000"/>
                    </a:schemeClr>
                  </a:solidFill>
                  <a:round/>
                </a:ln>
                <a:effectLst>
                  <a:outerShdw blurRad="50800" dist="38100" dir="2700000" algn="tl" rotWithShape="0">
                    <a:schemeClr val="accent1">
                      <a:lumMod val="50000"/>
                      <a:lumOff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lumOff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61-3866-0D4D-BB6B-71AF7F2926C7}"/>
                </c:ext>
              </c:extLst>
            </c:dLbl>
            <c:dLbl>
              <c:idx val="49"/>
              <c:spPr>
                <a:solidFill>
                  <a:schemeClr val="lt1">
                    <a:alpha val="90000"/>
                  </a:schemeClr>
                </a:solidFill>
                <a:ln w="12700" cap="flat" cmpd="sng" algn="ctr">
                  <a:solidFill>
                    <a:schemeClr val="accent2">
                      <a:lumMod val="50000"/>
                      <a:lumOff val="50000"/>
                    </a:schemeClr>
                  </a:solidFill>
                  <a:round/>
                </a:ln>
                <a:effectLst>
                  <a:outerShdw blurRad="50800" dist="38100" dir="2700000" algn="tl" rotWithShape="0">
                    <a:schemeClr val="accent2">
                      <a:lumMod val="50000"/>
                      <a:lumOff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50000"/>
                          <a:lumOff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63-3866-0D4D-BB6B-71AF7F2926C7}"/>
                </c:ext>
              </c:extLst>
            </c:dLbl>
            <c:dLbl>
              <c:idx val="50"/>
              <c:spPr>
                <a:solidFill>
                  <a:schemeClr val="lt1">
                    <a:alpha val="90000"/>
                  </a:schemeClr>
                </a:solidFill>
                <a:ln w="12700" cap="flat" cmpd="sng" algn="ctr">
                  <a:solidFill>
                    <a:schemeClr val="accent3">
                      <a:lumMod val="50000"/>
                      <a:lumOff val="50000"/>
                    </a:schemeClr>
                  </a:solidFill>
                  <a:round/>
                </a:ln>
                <a:effectLst>
                  <a:outerShdw blurRad="50800" dist="38100" dir="2700000" algn="tl" rotWithShape="0">
                    <a:schemeClr val="accent3">
                      <a:lumMod val="50000"/>
                      <a:lumOff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50000"/>
                          <a:lumOff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65-3866-0D4D-BB6B-71AF7F2926C7}"/>
                </c:ext>
              </c:extLst>
            </c:dLbl>
            <c:dLbl>
              <c:idx val="51"/>
              <c:spPr>
                <a:solidFill>
                  <a:schemeClr val="lt1">
                    <a:alpha val="90000"/>
                  </a:schemeClr>
                </a:solidFill>
                <a:ln w="12700" cap="flat" cmpd="sng" algn="ctr">
                  <a:solidFill>
                    <a:schemeClr val="accent4">
                      <a:lumMod val="50000"/>
                      <a:lumOff val="50000"/>
                    </a:schemeClr>
                  </a:solidFill>
                  <a:round/>
                </a:ln>
                <a:effectLst>
                  <a:outerShdw blurRad="50800" dist="38100" dir="2700000" algn="tl" rotWithShape="0">
                    <a:schemeClr val="accent4">
                      <a:lumMod val="50000"/>
                      <a:lumOff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50000"/>
                          <a:lumOff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67-3866-0D4D-BB6B-71AF7F2926C7}"/>
                </c:ext>
              </c:extLst>
            </c:dLbl>
            <c:dLbl>
              <c:idx val="52"/>
              <c:spPr>
                <a:solidFill>
                  <a:schemeClr val="lt1">
                    <a:alpha val="90000"/>
                  </a:schemeClr>
                </a:solidFill>
                <a:ln w="12700" cap="flat" cmpd="sng" algn="ctr">
                  <a:solidFill>
                    <a:schemeClr val="accent5">
                      <a:lumMod val="50000"/>
                      <a:lumOff val="50000"/>
                    </a:schemeClr>
                  </a:solidFill>
                  <a:round/>
                </a:ln>
                <a:effectLst>
                  <a:outerShdw blurRad="50800" dist="38100" dir="2700000" algn="tl" rotWithShape="0">
                    <a:schemeClr val="accent5">
                      <a:lumMod val="50000"/>
                      <a:lumOff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50000"/>
                          <a:lumOff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69-3866-0D4D-BB6B-71AF7F2926C7}"/>
                </c:ext>
              </c:extLst>
            </c:dLbl>
            <c:dLbl>
              <c:idx val="53"/>
              <c:spPr>
                <a:solidFill>
                  <a:schemeClr val="lt1">
                    <a:alpha val="90000"/>
                  </a:schemeClr>
                </a:solidFill>
                <a:ln w="12700" cap="flat" cmpd="sng" algn="ctr">
                  <a:solidFill>
                    <a:schemeClr val="accent6">
                      <a:lumMod val="50000"/>
                      <a:lumOff val="50000"/>
                    </a:schemeClr>
                  </a:solidFill>
                  <a:round/>
                </a:ln>
                <a:effectLst>
                  <a:outerShdw blurRad="50800" dist="38100" dir="2700000" algn="tl" rotWithShape="0">
                    <a:schemeClr val="accent6">
                      <a:lumMod val="50000"/>
                      <a:lumOff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lumOff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6B-3866-0D4D-BB6B-71AF7F2926C7}"/>
                </c:ext>
              </c:extLst>
            </c:dLbl>
            <c:dLbl>
              <c:idx val="54"/>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6D-3866-0D4D-BB6B-71AF7F2926C7}"/>
                </c:ext>
              </c:extLst>
            </c:dLbl>
            <c:dLbl>
              <c:idx val="55"/>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6F-3866-0D4D-BB6B-71AF7F2926C7}"/>
                </c:ext>
              </c:extLst>
            </c:dLbl>
            <c:dLbl>
              <c:idx val="56"/>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71-3866-0D4D-BB6B-71AF7F2926C7}"/>
                </c:ext>
              </c:extLst>
            </c:dLbl>
            <c:dLbl>
              <c:idx val="57"/>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73-3866-0D4D-BB6B-71AF7F2926C7}"/>
                </c:ext>
              </c:extLst>
            </c:dLbl>
            <c:dLbl>
              <c:idx val="58"/>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75-3866-0D4D-BB6B-71AF7F2926C7}"/>
                </c:ext>
              </c:extLst>
            </c:dLbl>
            <c:dLbl>
              <c:idx val="59"/>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77-3866-0D4D-BB6B-71AF7F2926C7}"/>
                </c:ext>
              </c:extLst>
            </c:dLbl>
            <c:dLbl>
              <c:idx val="60"/>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79-3866-0D4D-BB6B-71AF7F2926C7}"/>
                </c:ext>
              </c:extLst>
            </c:dLbl>
            <c:dLbl>
              <c:idx val="61"/>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7B-3866-0D4D-BB6B-71AF7F2926C7}"/>
                </c:ext>
              </c:extLst>
            </c:dLbl>
            <c:dLbl>
              <c:idx val="62"/>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7D-3866-0D4D-BB6B-71AF7F2926C7}"/>
                </c:ext>
              </c:extLst>
            </c:dLbl>
            <c:dLbl>
              <c:idx val="63"/>
              <c:spPr>
                <a:solidFill>
                  <a:schemeClr val="lt1">
                    <a:alpha val="90000"/>
                  </a:schemeClr>
                </a:solidFill>
                <a:ln w="12700" cap="flat" cmpd="sng" algn="ctr">
                  <a:solidFill>
                    <a:schemeClr val="accent4">
                      <a:lumMod val="60000"/>
                    </a:schemeClr>
                  </a:solidFill>
                  <a:round/>
                </a:ln>
                <a:effectLst>
                  <a:outerShdw blurRad="50800" dist="38100" dir="2700000" algn="tl" rotWithShape="0">
                    <a:schemeClr val="accent4">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7F-3866-0D4D-BB6B-71AF7F2926C7}"/>
                </c:ext>
              </c:extLst>
            </c:dLbl>
            <c:dLbl>
              <c:idx val="64"/>
              <c:spPr>
                <a:solidFill>
                  <a:schemeClr val="lt1">
                    <a:alpha val="90000"/>
                  </a:schemeClr>
                </a:solidFill>
                <a:ln w="12700" cap="flat" cmpd="sng" algn="ctr">
                  <a:solidFill>
                    <a:schemeClr val="accent5">
                      <a:lumMod val="60000"/>
                    </a:schemeClr>
                  </a:solidFill>
                  <a:round/>
                </a:ln>
                <a:effectLst>
                  <a:outerShdw blurRad="50800" dist="38100" dir="2700000" algn="tl" rotWithShape="0">
                    <a:schemeClr val="accent5">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81-3866-0D4D-BB6B-71AF7F2926C7}"/>
                </c:ext>
              </c:extLst>
            </c:dLbl>
            <c:dLbl>
              <c:idx val="65"/>
              <c:spPr>
                <a:solidFill>
                  <a:schemeClr val="lt1">
                    <a:alpha val="90000"/>
                  </a:schemeClr>
                </a:solidFill>
                <a:ln w="12700" cap="flat" cmpd="sng" algn="ctr">
                  <a:solidFill>
                    <a:schemeClr val="accent6">
                      <a:lumMod val="60000"/>
                    </a:schemeClr>
                  </a:solidFill>
                  <a:round/>
                </a:ln>
                <a:effectLst>
                  <a:outerShdw blurRad="50800" dist="38100" dir="2700000" algn="tl" rotWithShape="0">
                    <a:schemeClr val="accent6">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6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83-3866-0D4D-BB6B-71AF7F2926C7}"/>
                </c:ext>
              </c:extLst>
            </c:dLbl>
            <c:dLbl>
              <c:idx val="66"/>
              <c:spPr>
                <a:solidFill>
                  <a:schemeClr val="lt1">
                    <a:alpha val="90000"/>
                  </a:schemeClr>
                </a:solidFill>
                <a:ln w="12700" cap="flat" cmpd="sng" algn="ctr">
                  <a:solidFill>
                    <a:schemeClr val="accent1">
                      <a:lumMod val="80000"/>
                      <a:lumOff val="20000"/>
                    </a:schemeClr>
                  </a:solidFill>
                  <a:round/>
                </a:ln>
                <a:effectLst>
                  <a:outerShdw blurRad="50800" dist="38100" dir="2700000" algn="tl" rotWithShape="0">
                    <a:schemeClr val="accent1">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85-3866-0D4D-BB6B-71AF7F2926C7}"/>
                </c:ext>
              </c:extLst>
            </c:dLbl>
            <c:dLbl>
              <c:idx val="67"/>
              <c:spPr>
                <a:solidFill>
                  <a:schemeClr val="lt1">
                    <a:alpha val="90000"/>
                  </a:schemeClr>
                </a:solidFill>
                <a:ln w="12700" cap="flat" cmpd="sng" algn="ctr">
                  <a:solidFill>
                    <a:schemeClr val="accent2">
                      <a:lumMod val="80000"/>
                      <a:lumOff val="20000"/>
                    </a:schemeClr>
                  </a:solidFill>
                  <a:round/>
                </a:ln>
                <a:effectLst>
                  <a:outerShdw blurRad="50800" dist="38100" dir="2700000" algn="tl" rotWithShape="0">
                    <a:schemeClr val="accent2">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87-3866-0D4D-BB6B-71AF7F2926C7}"/>
                </c:ext>
              </c:extLst>
            </c:dLbl>
            <c:dLbl>
              <c:idx val="68"/>
              <c:spPr>
                <a:solidFill>
                  <a:schemeClr val="lt1">
                    <a:alpha val="90000"/>
                  </a:schemeClr>
                </a:solidFill>
                <a:ln w="12700" cap="flat" cmpd="sng" algn="ctr">
                  <a:solidFill>
                    <a:schemeClr val="accent3">
                      <a:lumMod val="80000"/>
                      <a:lumOff val="20000"/>
                    </a:schemeClr>
                  </a:solidFill>
                  <a:round/>
                </a:ln>
                <a:effectLst>
                  <a:outerShdw blurRad="50800" dist="38100" dir="2700000" algn="tl" rotWithShape="0">
                    <a:schemeClr val="accent3">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89-3866-0D4D-BB6B-71AF7F2926C7}"/>
                </c:ext>
              </c:extLst>
            </c:dLbl>
            <c:dLbl>
              <c:idx val="69"/>
              <c:spPr>
                <a:solidFill>
                  <a:schemeClr val="lt1">
                    <a:alpha val="90000"/>
                  </a:schemeClr>
                </a:solidFill>
                <a:ln w="12700" cap="flat" cmpd="sng" algn="ctr">
                  <a:solidFill>
                    <a:schemeClr val="accent4">
                      <a:lumMod val="80000"/>
                      <a:lumOff val="20000"/>
                    </a:schemeClr>
                  </a:solidFill>
                  <a:round/>
                </a:ln>
                <a:effectLst>
                  <a:outerShdw blurRad="50800" dist="38100" dir="2700000" algn="tl" rotWithShape="0">
                    <a:schemeClr val="accent4">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8B-3866-0D4D-BB6B-71AF7F2926C7}"/>
                </c:ext>
              </c:extLst>
            </c:dLbl>
            <c:dLbl>
              <c:idx val="70"/>
              <c:spPr>
                <a:solidFill>
                  <a:schemeClr val="lt1">
                    <a:alpha val="90000"/>
                  </a:schemeClr>
                </a:solidFill>
                <a:ln w="12700" cap="flat" cmpd="sng" algn="ctr">
                  <a:solidFill>
                    <a:schemeClr val="accent5">
                      <a:lumMod val="80000"/>
                      <a:lumOff val="20000"/>
                    </a:schemeClr>
                  </a:solidFill>
                  <a:round/>
                </a:ln>
                <a:effectLst>
                  <a:outerShdw blurRad="50800" dist="38100" dir="2700000" algn="tl" rotWithShape="0">
                    <a:schemeClr val="accent5">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8D-3866-0D4D-BB6B-71AF7F2926C7}"/>
                </c:ext>
              </c:extLst>
            </c:dLbl>
            <c:dLbl>
              <c:idx val="71"/>
              <c:spPr>
                <a:solidFill>
                  <a:schemeClr val="lt1">
                    <a:alpha val="90000"/>
                  </a:schemeClr>
                </a:solidFill>
                <a:ln w="12700" cap="flat" cmpd="sng" algn="ctr">
                  <a:solidFill>
                    <a:schemeClr val="accent6">
                      <a:lumMod val="80000"/>
                      <a:lumOff val="20000"/>
                    </a:schemeClr>
                  </a:solidFill>
                  <a:round/>
                </a:ln>
                <a:effectLst>
                  <a:outerShdw blurRad="50800" dist="38100" dir="2700000" algn="tl" rotWithShape="0">
                    <a:schemeClr val="accent6">
                      <a:lumMod val="80000"/>
                      <a:lumOff val="2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80000"/>
                          <a:lumOff val="2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8F-3866-0D4D-BB6B-71AF7F2926C7}"/>
                </c:ext>
              </c:extLst>
            </c:dLbl>
            <c:dLbl>
              <c:idx val="72"/>
              <c:spPr>
                <a:solidFill>
                  <a:schemeClr val="lt1">
                    <a:alpha val="90000"/>
                  </a:schemeClr>
                </a:solidFill>
                <a:ln w="12700" cap="flat" cmpd="sng" algn="ctr">
                  <a:solidFill>
                    <a:schemeClr val="accent1">
                      <a:lumMod val="80000"/>
                    </a:schemeClr>
                  </a:solidFill>
                  <a:round/>
                </a:ln>
                <a:effectLst>
                  <a:outerShdw blurRad="50800" dist="38100" dir="2700000" algn="tl" rotWithShape="0">
                    <a:schemeClr val="accent1">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91-3866-0D4D-BB6B-71AF7F2926C7}"/>
                </c:ext>
              </c:extLst>
            </c:dLbl>
            <c:dLbl>
              <c:idx val="73"/>
              <c:spPr>
                <a:solidFill>
                  <a:schemeClr val="lt1">
                    <a:alpha val="90000"/>
                  </a:schemeClr>
                </a:solidFill>
                <a:ln w="12700" cap="flat" cmpd="sng" algn="ctr">
                  <a:solidFill>
                    <a:schemeClr val="accent2">
                      <a:lumMod val="80000"/>
                    </a:schemeClr>
                  </a:solidFill>
                  <a:round/>
                </a:ln>
                <a:effectLst>
                  <a:outerShdw blurRad="50800" dist="38100" dir="2700000" algn="tl" rotWithShape="0">
                    <a:schemeClr val="accent2">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93-3866-0D4D-BB6B-71AF7F2926C7}"/>
                </c:ext>
              </c:extLst>
            </c:dLbl>
            <c:dLbl>
              <c:idx val="74"/>
              <c:spPr>
                <a:solidFill>
                  <a:schemeClr val="lt1">
                    <a:alpha val="90000"/>
                  </a:schemeClr>
                </a:solidFill>
                <a:ln w="12700" cap="flat" cmpd="sng" algn="ctr">
                  <a:solidFill>
                    <a:schemeClr val="accent3">
                      <a:lumMod val="80000"/>
                    </a:schemeClr>
                  </a:solidFill>
                  <a:round/>
                </a:ln>
                <a:effectLst>
                  <a:outerShdw blurRad="50800" dist="38100" dir="2700000" algn="tl" rotWithShape="0">
                    <a:schemeClr val="accent3">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95-3866-0D4D-BB6B-71AF7F2926C7}"/>
                </c:ext>
              </c:extLst>
            </c:dLbl>
            <c:dLbl>
              <c:idx val="75"/>
              <c:spPr>
                <a:solidFill>
                  <a:schemeClr val="lt1">
                    <a:alpha val="90000"/>
                  </a:schemeClr>
                </a:solidFill>
                <a:ln w="12700" cap="flat" cmpd="sng" algn="ctr">
                  <a:solidFill>
                    <a:schemeClr val="accent4">
                      <a:lumMod val="80000"/>
                    </a:schemeClr>
                  </a:solidFill>
                  <a:round/>
                </a:ln>
                <a:effectLst>
                  <a:outerShdw blurRad="50800" dist="38100" dir="2700000" algn="tl" rotWithShape="0">
                    <a:schemeClr val="accent4">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97-3866-0D4D-BB6B-71AF7F2926C7}"/>
                </c:ext>
              </c:extLst>
            </c:dLbl>
            <c:dLbl>
              <c:idx val="76"/>
              <c:spPr>
                <a:solidFill>
                  <a:schemeClr val="lt1">
                    <a:alpha val="90000"/>
                  </a:schemeClr>
                </a:solidFill>
                <a:ln w="12700" cap="flat" cmpd="sng" algn="ctr">
                  <a:solidFill>
                    <a:schemeClr val="accent5">
                      <a:lumMod val="80000"/>
                    </a:schemeClr>
                  </a:solidFill>
                  <a:round/>
                </a:ln>
                <a:effectLst>
                  <a:outerShdw blurRad="50800" dist="38100" dir="2700000" algn="tl" rotWithShape="0">
                    <a:schemeClr val="accent5">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99-3866-0D4D-BB6B-71AF7F2926C7}"/>
                </c:ext>
              </c:extLst>
            </c:dLbl>
            <c:dLbl>
              <c:idx val="77"/>
              <c:spPr>
                <a:solidFill>
                  <a:schemeClr val="lt1">
                    <a:alpha val="90000"/>
                  </a:schemeClr>
                </a:solidFill>
                <a:ln w="12700" cap="flat" cmpd="sng" algn="ctr">
                  <a:solidFill>
                    <a:schemeClr val="accent6">
                      <a:lumMod val="80000"/>
                    </a:schemeClr>
                  </a:solidFill>
                  <a:round/>
                </a:ln>
                <a:effectLst>
                  <a:outerShdw blurRad="50800" dist="38100" dir="2700000" algn="tl" rotWithShape="0">
                    <a:schemeClr val="accent6">
                      <a:lumMod val="8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8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9B-3866-0D4D-BB6B-71AF7F2926C7}"/>
                </c:ext>
              </c:extLst>
            </c:dLbl>
            <c:dLbl>
              <c:idx val="78"/>
              <c:spPr>
                <a:solidFill>
                  <a:schemeClr val="lt1">
                    <a:alpha val="90000"/>
                  </a:schemeClr>
                </a:solidFill>
                <a:ln w="12700" cap="flat" cmpd="sng" algn="ctr">
                  <a:solidFill>
                    <a:schemeClr val="accent1">
                      <a:lumMod val="60000"/>
                      <a:lumOff val="40000"/>
                    </a:schemeClr>
                  </a:solidFill>
                  <a:round/>
                </a:ln>
                <a:effectLst>
                  <a:outerShdw blurRad="50800" dist="38100" dir="2700000" algn="tl" rotWithShape="0">
                    <a:schemeClr val="accent1">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9D-3866-0D4D-BB6B-71AF7F2926C7}"/>
                </c:ext>
              </c:extLst>
            </c:dLbl>
            <c:dLbl>
              <c:idx val="79"/>
              <c:spPr>
                <a:solidFill>
                  <a:schemeClr val="lt1">
                    <a:alpha val="90000"/>
                  </a:schemeClr>
                </a:solidFill>
                <a:ln w="12700" cap="flat" cmpd="sng" algn="ctr">
                  <a:solidFill>
                    <a:schemeClr val="accent2">
                      <a:lumMod val="60000"/>
                      <a:lumOff val="40000"/>
                    </a:schemeClr>
                  </a:solidFill>
                  <a:round/>
                </a:ln>
                <a:effectLst>
                  <a:outerShdw blurRad="50800" dist="38100" dir="2700000" algn="tl" rotWithShape="0">
                    <a:schemeClr val="accent2">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9F-3866-0D4D-BB6B-71AF7F2926C7}"/>
                </c:ext>
              </c:extLst>
            </c:dLbl>
            <c:dLbl>
              <c:idx val="80"/>
              <c:spPr>
                <a:solidFill>
                  <a:schemeClr val="lt1">
                    <a:alpha val="90000"/>
                  </a:schemeClr>
                </a:solidFill>
                <a:ln w="12700" cap="flat" cmpd="sng" algn="ctr">
                  <a:solidFill>
                    <a:schemeClr val="accent3">
                      <a:lumMod val="60000"/>
                      <a:lumOff val="40000"/>
                    </a:schemeClr>
                  </a:solidFill>
                  <a:round/>
                </a:ln>
                <a:effectLst>
                  <a:outerShdw blurRad="50800" dist="38100" dir="2700000" algn="tl" rotWithShape="0">
                    <a:schemeClr val="accent3">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A1-3866-0D4D-BB6B-71AF7F2926C7}"/>
                </c:ext>
              </c:extLst>
            </c:dLbl>
            <c:dLbl>
              <c:idx val="81"/>
              <c:spPr>
                <a:solidFill>
                  <a:schemeClr val="lt1">
                    <a:alpha val="90000"/>
                  </a:schemeClr>
                </a:solidFill>
                <a:ln w="12700" cap="flat" cmpd="sng" algn="ctr">
                  <a:solidFill>
                    <a:schemeClr val="accent4">
                      <a:lumMod val="60000"/>
                      <a:lumOff val="40000"/>
                    </a:schemeClr>
                  </a:solidFill>
                  <a:round/>
                </a:ln>
                <a:effectLst>
                  <a:outerShdw blurRad="50800" dist="38100" dir="2700000" algn="tl" rotWithShape="0">
                    <a:schemeClr val="accent4">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A3-3866-0D4D-BB6B-71AF7F2926C7}"/>
                </c:ext>
              </c:extLst>
            </c:dLbl>
            <c:dLbl>
              <c:idx val="82"/>
              <c:spPr>
                <a:solidFill>
                  <a:schemeClr val="lt1">
                    <a:alpha val="90000"/>
                  </a:schemeClr>
                </a:solidFill>
                <a:ln w="12700" cap="flat" cmpd="sng" algn="ctr">
                  <a:solidFill>
                    <a:schemeClr val="accent5">
                      <a:lumMod val="60000"/>
                      <a:lumOff val="40000"/>
                    </a:schemeClr>
                  </a:solidFill>
                  <a:round/>
                </a:ln>
                <a:effectLst>
                  <a:outerShdw blurRad="50800" dist="38100" dir="2700000" algn="tl" rotWithShape="0">
                    <a:schemeClr val="accent5">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A5-3866-0D4D-BB6B-71AF7F2926C7}"/>
                </c:ext>
              </c:extLst>
            </c:dLbl>
            <c:dLbl>
              <c:idx val="83"/>
              <c:spPr>
                <a:solidFill>
                  <a:schemeClr val="lt1">
                    <a:alpha val="90000"/>
                  </a:schemeClr>
                </a:solidFill>
                <a:ln w="12700" cap="flat" cmpd="sng" algn="ctr">
                  <a:solidFill>
                    <a:schemeClr val="accent6">
                      <a:lumMod val="60000"/>
                      <a:lumOff val="40000"/>
                    </a:schemeClr>
                  </a:solidFill>
                  <a:round/>
                </a:ln>
                <a:effectLst>
                  <a:outerShdw blurRad="50800" dist="38100" dir="2700000" algn="tl" rotWithShape="0">
                    <a:schemeClr val="accent6">
                      <a:lumMod val="60000"/>
                      <a:lumOff val="4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60000"/>
                          <a:lumOff val="4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A7-3866-0D4D-BB6B-71AF7F2926C7}"/>
                </c:ext>
              </c:extLst>
            </c:dLbl>
            <c:dLbl>
              <c:idx val="84"/>
              <c:spPr>
                <a:solidFill>
                  <a:schemeClr val="lt1">
                    <a:alpha val="90000"/>
                  </a:schemeClr>
                </a:solidFill>
                <a:ln w="12700" cap="flat" cmpd="sng" algn="ctr">
                  <a:solidFill>
                    <a:schemeClr val="accent1">
                      <a:lumMod val="50000"/>
                    </a:schemeClr>
                  </a:solidFill>
                  <a:round/>
                </a:ln>
                <a:effectLst>
                  <a:outerShdw blurRad="50800" dist="38100" dir="2700000" algn="tl" rotWithShape="0">
                    <a:schemeClr val="accent1">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A9-3866-0D4D-BB6B-71AF7F2926C7}"/>
                </c:ext>
              </c:extLst>
            </c:dLbl>
            <c:dLbl>
              <c:idx val="85"/>
              <c:spPr>
                <a:solidFill>
                  <a:schemeClr val="lt1">
                    <a:alpha val="90000"/>
                  </a:schemeClr>
                </a:solidFill>
                <a:ln w="12700" cap="flat" cmpd="sng" algn="ctr">
                  <a:solidFill>
                    <a:schemeClr val="accent2">
                      <a:lumMod val="50000"/>
                    </a:schemeClr>
                  </a:solidFill>
                  <a:round/>
                </a:ln>
                <a:effectLst>
                  <a:outerShdw blurRad="50800" dist="38100" dir="2700000" algn="tl" rotWithShape="0">
                    <a:schemeClr val="accent2">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AB-3866-0D4D-BB6B-71AF7F2926C7}"/>
                </c:ext>
              </c:extLst>
            </c:dLbl>
            <c:dLbl>
              <c:idx val="86"/>
              <c:spPr>
                <a:solidFill>
                  <a:schemeClr val="lt1">
                    <a:alpha val="90000"/>
                  </a:schemeClr>
                </a:solidFill>
                <a:ln w="12700" cap="flat" cmpd="sng" algn="ctr">
                  <a:solidFill>
                    <a:schemeClr val="accent3">
                      <a:lumMod val="50000"/>
                    </a:schemeClr>
                  </a:solidFill>
                  <a:round/>
                </a:ln>
                <a:effectLst>
                  <a:outerShdw blurRad="50800" dist="38100" dir="2700000" algn="tl" rotWithShape="0">
                    <a:schemeClr val="accent3">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AD-3866-0D4D-BB6B-71AF7F2926C7}"/>
                </c:ext>
              </c:extLst>
            </c:dLbl>
            <c:dLbl>
              <c:idx val="87"/>
              <c:spPr>
                <a:solidFill>
                  <a:schemeClr val="lt1">
                    <a:alpha val="90000"/>
                  </a:schemeClr>
                </a:solidFill>
                <a:ln w="12700" cap="flat" cmpd="sng" algn="ctr">
                  <a:solidFill>
                    <a:schemeClr val="accent4">
                      <a:lumMod val="50000"/>
                    </a:schemeClr>
                  </a:solidFill>
                  <a:round/>
                </a:ln>
                <a:effectLst>
                  <a:outerShdw blurRad="50800" dist="38100" dir="2700000" algn="tl" rotWithShape="0">
                    <a:schemeClr val="accent4">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AF-3866-0D4D-BB6B-71AF7F2926C7}"/>
                </c:ext>
              </c:extLst>
            </c:dLbl>
            <c:dLbl>
              <c:idx val="88"/>
              <c:spPr>
                <a:solidFill>
                  <a:schemeClr val="lt1">
                    <a:alpha val="90000"/>
                  </a:schemeClr>
                </a:solidFill>
                <a:ln w="12700" cap="flat" cmpd="sng" algn="ctr">
                  <a:solidFill>
                    <a:schemeClr val="accent5">
                      <a:lumMod val="50000"/>
                    </a:schemeClr>
                  </a:solidFill>
                  <a:round/>
                </a:ln>
                <a:effectLst>
                  <a:outerShdw blurRad="50800" dist="38100" dir="2700000" algn="tl" rotWithShape="0">
                    <a:schemeClr val="accent5">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B1-3866-0D4D-BB6B-71AF7F2926C7}"/>
                </c:ext>
              </c:extLst>
            </c:dLbl>
            <c:dLbl>
              <c:idx val="89"/>
              <c:spPr>
                <a:solidFill>
                  <a:schemeClr val="lt1">
                    <a:alpha val="90000"/>
                  </a:schemeClr>
                </a:solidFill>
                <a:ln w="12700" cap="flat" cmpd="sng" algn="ctr">
                  <a:solidFill>
                    <a:schemeClr val="accent6">
                      <a:lumMod val="50000"/>
                    </a:schemeClr>
                  </a:solidFill>
                  <a:round/>
                </a:ln>
                <a:effectLst>
                  <a:outerShdw blurRad="50800" dist="38100" dir="2700000" algn="tl" rotWithShape="0">
                    <a:schemeClr val="accent6">
                      <a:lumMod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B3-3866-0D4D-BB6B-71AF7F2926C7}"/>
                </c:ext>
              </c:extLst>
            </c:dLbl>
            <c:dLbl>
              <c:idx val="90"/>
              <c:spPr>
                <a:solidFill>
                  <a:schemeClr val="lt1">
                    <a:alpha val="90000"/>
                  </a:schemeClr>
                </a:solidFill>
                <a:ln w="12700" cap="flat" cmpd="sng" algn="ctr">
                  <a:solidFill>
                    <a:schemeClr val="accent1">
                      <a:lumMod val="70000"/>
                      <a:lumOff val="30000"/>
                    </a:schemeClr>
                  </a:solidFill>
                  <a:round/>
                </a:ln>
                <a:effectLst>
                  <a:outerShdw blurRad="50800" dist="38100" dir="2700000" algn="tl" rotWithShape="0">
                    <a:schemeClr val="accent1">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B5-3866-0D4D-BB6B-71AF7F2926C7}"/>
                </c:ext>
              </c:extLst>
            </c:dLbl>
            <c:dLbl>
              <c:idx val="91"/>
              <c:spPr>
                <a:solidFill>
                  <a:schemeClr val="lt1">
                    <a:alpha val="90000"/>
                  </a:schemeClr>
                </a:solidFill>
                <a:ln w="12700" cap="flat" cmpd="sng" algn="ctr">
                  <a:solidFill>
                    <a:schemeClr val="accent2">
                      <a:lumMod val="70000"/>
                      <a:lumOff val="30000"/>
                    </a:schemeClr>
                  </a:solidFill>
                  <a:round/>
                </a:ln>
                <a:effectLst>
                  <a:outerShdw blurRad="50800" dist="38100" dir="2700000" algn="tl" rotWithShape="0">
                    <a:schemeClr val="accent2">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B7-3866-0D4D-BB6B-71AF7F2926C7}"/>
                </c:ext>
              </c:extLst>
            </c:dLbl>
            <c:dLbl>
              <c:idx val="92"/>
              <c:spPr>
                <a:solidFill>
                  <a:schemeClr val="lt1">
                    <a:alpha val="90000"/>
                  </a:schemeClr>
                </a:solidFill>
                <a:ln w="12700" cap="flat" cmpd="sng" algn="ctr">
                  <a:solidFill>
                    <a:schemeClr val="accent3">
                      <a:lumMod val="70000"/>
                      <a:lumOff val="30000"/>
                    </a:schemeClr>
                  </a:solidFill>
                  <a:round/>
                </a:ln>
                <a:effectLst>
                  <a:outerShdw blurRad="50800" dist="38100" dir="2700000" algn="tl" rotWithShape="0">
                    <a:schemeClr val="accent3">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B9-3866-0D4D-BB6B-71AF7F2926C7}"/>
                </c:ext>
              </c:extLst>
            </c:dLbl>
            <c:dLbl>
              <c:idx val="93"/>
              <c:spPr>
                <a:solidFill>
                  <a:schemeClr val="lt1">
                    <a:alpha val="90000"/>
                  </a:schemeClr>
                </a:solidFill>
                <a:ln w="12700" cap="flat" cmpd="sng" algn="ctr">
                  <a:solidFill>
                    <a:schemeClr val="accent4">
                      <a:lumMod val="70000"/>
                      <a:lumOff val="30000"/>
                    </a:schemeClr>
                  </a:solidFill>
                  <a:round/>
                </a:ln>
                <a:effectLst>
                  <a:outerShdw blurRad="50800" dist="38100" dir="2700000" algn="tl" rotWithShape="0">
                    <a:schemeClr val="accent4">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BB-3866-0D4D-BB6B-71AF7F2926C7}"/>
                </c:ext>
              </c:extLst>
            </c:dLbl>
            <c:dLbl>
              <c:idx val="94"/>
              <c:spPr>
                <a:solidFill>
                  <a:schemeClr val="lt1">
                    <a:alpha val="90000"/>
                  </a:schemeClr>
                </a:solidFill>
                <a:ln w="12700" cap="flat" cmpd="sng" algn="ctr">
                  <a:solidFill>
                    <a:schemeClr val="accent5">
                      <a:lumMod val="70000"/>
                      <a:lumOff val="30000"/>
                    </a:schemeClr>
                  </a:solidFill>
                  <a:round/>
                </a:ln>
                <a:effectLst>
                  <a:outerShdw blurRad="50800" dist="38100" dir="2700000" algn="tl" rotWithShape="0">
                    <a:schemeClr val="accent5">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BD-3866-0D4D-BB6B-71AF7F2926C7}"/>
                </c:ext>
              </c:extLst>
            </c:dLbl>
            <c:dLbl>
              <c:idx val="95"/>
              <c:spPr>
                <a:solidFill>
                  <a:schemeClr val="lt1">
                    <a:alpha val="90000"/>
                  </a:schemeClr>
                </a:solidFill>
                <a:ln w="12700" cap="flat" cmpd="sng" algn="ctr">
                  <a:solidFill>
                    <a:schemeClr val="accent6">
                      <a:lumMod val="70000"/>
                      <a:lumOff val="30000"/>
                    </a:schemeClr>
                  </a:solidFill>
                  <a:round/>
                </a:ln>
                <a:effectLst>
                  <a:outerShdw blurRad="50800" dist="38100" dir="2700000" algn="tl" rotWithShape="0">
                    <a:schemeClr val="accent6">
                      <a:lumMod val="70000"/>
                      <a:lumOff val="3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70000"/>
                          <a:lumOff val="3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BF-3866-0D4D-BB6B-71AF7F2926C7}"/>
                </c:ext>
              </c:extLst>
            </c:dLbl>
            <c:dLbl>
              <c:idx val="96"/>
              <c:spPr>
                <a:solidFill>
                  <a:schemeClr val="lt1">
                    <a:alpha val="90000"/>
                  </a:schemeClr>
                </a:solidFill>
                <a:ln w="12700" cap="flat" cmpd="sng" algn="ctr">
                  <a:solidFill>
                    <a:schemeClr val="accent1">
                      <a:lumMod val="70000"/>
                    </a:schemeClr>
                  </a:solidFill>
                  <a:round/>
                </a:ln>
                <a:effectLst>
                  <a:outerShdw blurRad="50800" dist="38100" dir="2700000" algn="tl" rotWithShape="0">
                    <a:schemeClr val="accent1">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C1-3866-0D4D-BB6B-71AF7F2926C7}"/>
                </c:ext>
              </c:extLst>
            </c:dLbl>
            <c:dLbl>
              <c:idx val="97"/>
              <c:spPr>
                <a:solidFill>
                  <a:schemeClr val="lt1">
                    <a:alpha val="90000"/>
                  </a:schemeClr>
                </a:solidFill>
                <a:ln w="12700" cap="flat" cmpd="sng" algn="ctr">
                  <a:solidFill>
                    <a:schemeClr val="accent2">
                      <a:lumMod val="70000"/>
                    </a:schemeClr>
                  </a:solidFill>
                  <a:round/>
                </a:ln>
                <a:effectLst>
                  <a:outerShdw blurRad="50800" dist="38100" dir="2700000" algn="tl" rotWithShape="0">
                    <a:schemeClr val="accent2">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C3-3866-0D4D-BB6B-71AF7F2926C7}"/>
                </c:ext>
              </c:extLst>
            </c:dLbl>
            <c:dLbl>
              <c:idx val="98"/>
              <c:spPr>
                <a:solidFill>
                  <a:schemeClr val="lt1">
                    <a:alpha val="90000"/>
                  </a:schemeClr>
                </a:solidFill>
                <a:ln w="12700" cap="flat" cmpd="sng" algn="ctr">
                  <a:solidFill>
                    <a:schemeClr val="accent3">
                      <a:lumMod val="70000"/>
                    </a:schemeClr>
                  </a:solidFill>
                  <a:round/>
                </a:ln>
                <a:effectLst>
                  <a:outerShdw blurRad="50800" dist="38100" dir="2700000" algn="tl" rotWithShape="0">
                    <a:schemeClr val="accent3">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C5-3866-0D4D-BB6B-71AF7F2926C7}"/>
                </c:ext>
              </c:extLst>
            </c:dLbl>
            <c:dLbl>
              <c:idx val="99"/>
              <c:spPr>
                <a:solidFill>
                  <a:schemeClr val="lt1">
                    <a:alpha val="90000"/>
                  </a:schemeClr>
                </a:solidFill>
                <a:ln w="12700" cap="flat" cmpd="sng" algn="ctr">
                  <a:solidFill>
                    <a:schemeClr val="accent4">
                      <a:lumMod val="70000"/>
                    </a:schemeClr>
                  </a:solidFill>
                  <a:round/>
                </a:ln>
                <a:effectLst>
                  <a:outerShdw blurRad="50800" dist="38100" dir="2700000" algn="tl" rotWithShape="0">
                    <a:schemeClr val="accent4">
                      <a:lumMod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70000"/>
                        </a:schemeClr>
                      </a:solidFill>
                      <a:effectLst/>
                      <a:latin typeface="+mn-lt"/>
                      <a:ea typeface="+mn-ea"/>
                      <a:cs typeface="+mn-cs"/>
                    </a:defRPr>
                  </a:pPr>
                  <a:endParaRPr lang="en-UA"/>
                </a:p>
              </c:txPr>
              <c:dLblPos val="inEnd"/>
              <c:showLegendKey val="0"/>
              <c:showVal val="0"/>
              <c:showCatName val="1"/>
              <c:showSerName val="0"/>
              <c:showPercent val="1"/>
              <c:showBubbleSize val="0"/>
              <c:extLst>
                <c:ext xmlns:c16="http://schemas.microsoft.com/office/drawing/2014/chart" uri="{C3380CC4-5D6E-409C-BE32-E72D297353CC}">
                  <c16:uniqueId val="{000000C7-3866-0D4D-BB6B-71AF7F2926C7}"/>
                </c:ext>
              </c:extLst>
            </c:dLbl>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'Mental disorders'!$M$3:$M$102</c:f>
              <c:strCache>
                <c:ptCount val="5"/>
                <c:pt idx="0">
                  <c:v>Condition</c:v>
                </c:pt>
                <c:pt idx="1">
                  <c:v>Depression</c:v>
                </c:pt>
                <c:pt idx="2">
                  <c:v>Anxiety   </c:v>
                </c:pt>
                <c:pt idx="3">
                  <c:v>Panic attacks </c:v>
                </c:pt>
                <c:pt idx="4">
                  <c:v>Seek a treatment?</c:v>
                </c:pt>
              </c:strCache>
            </c:strRef>
          </c:cat>
          <c:val>
            <c:numRef>
              <c:f>'Mental disorders'!$O$3:$O$102</c:f>
              <c:numCache>
                <c:formatCode>General</c:formatCode>
                <c:ptCount val="100"/>
                <c:pt idx="0">
                  <c:v>0</c:v>
                </c:pt>
                <c:pt idx="1">
                  <c:v>35</c:v>
                </c:pt>
                <c:pt idx="2">
                  <c:v>34</c:v>
                </c:pt>
                <c:pt idx="3">
                  <c:v>33</c:v>
                </c:pt>
                <c:pt idx="4">
                  <c:v>6</c:v>
                </c:pt>
              </c:numCache>
            </c:numRef>
          </c:val>
          <c:extLst>
            <c:ext xmlns:c16="http://schemas.microsoft.com/office/drawing/2014/chart" uri="{C3380CC4-5D6E-409C-BE32-E72D297353CC}">
              <c16:uniqueId val="{000000C8-3866-0D4D-BB6B-71AF7F2926C7}"/>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Mental health.xlsx]Course distribution!PivotTable1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42589161648914E-2"/>
          <c:y val="0.24110218140068887"/>
          <c:w val="0.84928346456692916"/>
          <c:h val="0.52873645099758626"/>
        </c:manualLayout>
      </c:layout>
      <c:barChart>
        <c:barDir val="col"/>
        <c:grouping val="clustered"/>
        <c:varyColors val="0"/>
        <c:ser>
          <c:idx val="0"/>
          <c:order val="0"/>
          <c:tx>
            <c:strRef>
              <c:f>'Course distribution'!$B$3</c:f>
              <c:strCache>
                <c:ptCount val="1"/>
                <c:pt idx="0">
                  <c:v>Panic attack</c:v>
                </c:pt>
              </c:strCache>
            </c:strRef>
          </c:tx>
          <c:spPr>
            <a:solidFill>
              <a:schemeClr val="accent1"/>
            </a:solidFill>
            <a:ln>
              <a:noFill/>
            </a:ln>
            <a:effectLst/>
          </c:spPr>
          <c:invertIfNegative val="0"/>
          <c:cat>
            <c:strRef>
              <c:f>'Course distribution'!$A$4:$A$39</c:f>
              <c:strCache>
                <c:ptCount val="36"/>
                <c:pt idx="0">
                  <c:v>Accounting </c:v>
                </c:pt>
                <c:pt idx="1">
                  <c:v>Banking Studies</c:v>
                </c:pt>
                <c:pt idx="2">
                  <c:v>BCS</c:v>
                </c:pt>
                <c:pt idx="3">
                  <c:v>BENL</c:v>
                </c:pt>
                <c:pt idx="4">
                  <c:v>Biomedical science</c:v>
                </c:pt>
                <c:pt idx="5">
                  <c:v>Biotechnology</c:v>
                </c:pt>
                <c:pt idx="6">
                  <c:v>BIT</c:v>
                </c:pt>
                <c:pt idx="7">
                  <c:v>Business Administration</c:v>
                </c:pt>
                <c:pt idx="8">
                  <c:v>CTS</c:v>
                </c:pt>
                <c:pt idx="9">
                  <c:v>Diploma Nursing</c:v>
                </c:pt>
                <c:pt idx="10">
                  <c:v>DIPLOMA TESL</c:v>
                </c:pt>
                <c:pt idx="11">
                  <c:v>Econs</c:v>
                </c:pt>
                <c:pt idx="12">
                  <c:v>engin</c:v>
                </c:pt>
                <c:pt idx="13">
                  <c:v>Engine</c:v>
                </c:pt>
                <c:pt idx="14">
                  <c:v>Engineering</c:v>
                </c:pt>
                <c:pt idx="15">
                  <c:v>Fiqh</c:v>
                </c:pt>
                <c:pt idx="16">
                  <c:v>Fiqh fatwa </c:v>
                </c:pt>
                <c:pt idx="17">
                  <c:v>Human Resources</c:v>
                </c:pt>
                <c:pt idx="18">
                  <c:v>Human Sciences </c:v>
                </c:pt>
                <c:pt idx="19">
                  <c:v>Irkhs</c:v>
                </c:pt>
                <c:pt idx="20">
                  <c:v>Islamic education</c:v>
                </c:pt>
                <c:pt idx="21">
                  <c:v>IT</c:v>
                </c:pt>
                <c:pt idx="22">
                  <c:v>KENMS</c:v>
                </c:pt>
                <c:pt idx="23">
                  <c:v>KIRKHS</c:v>
                </c:pt>
                <c:pt idx="24">
                  <c:v>KOE</c:v>
                </c:pt>
                <c:pt idx="25">
                  <c:v>Kop</c:v>
                </c:pt>
                <c:pt idx="26">
                  <c:v>Law</c:v>
                </c:pt>
                <c:pt idx="27">
                  <c:v>Laws</c:v>
                </c:pt>
                <c:pt idx="28">
                  <c:v>Malcom</c:v>
                </c:pt>
                <c:pt idx="29">
                  <c:v>Mathemathics</c:v>
                </c:pt>
                <c:pt idx="30">
                  <c:v>Pendidikan islam</c:v>
                </c:pt>
                <c:pt idx="31">
                  <c:v>Pendidikan Islam </c:v>
                </c:pt>
                <c:pt idx="32">
                  <c:v>Psychology</c:v>
                </c:pt>
                <c:pt idx="33">
                  <c:v>Radiography</c:v>
                </c:pt>
                <c:pt idx="34">
                  <c:v>TAASL</c:v>
                </c:pt>
                <c:pt idx="35">
                  <c:v>Usuluddin </c:v>
                </c:pt>
              </c:strCache>
            </c:strRef>
          </c:cat>
          <c:val>
            <c:numRef>
              <c:f>'Course distribution'!$B$4:$B$39</c:f>
              <c:numCache>
                <c:formatCode>General</c:formatCode>
                <c:ptCount val="36"/>
                <c:pt idx="0">
                  <c:v>1</c:v>
                </c:pt>
                <c:pt idx="1">
                  <c:v>1</c:v>
                </c:pt>
                <c:pt idx="2">
                  <c:v>17</c:v>
                </c:pt>
                <c:pt idx="3">
                  <c:v>3</c:v>
                </c:pt>
                <c:pt idx="4">
                  <c:v>4</c:v>
                </c:pt>
                <c:pt idx="5">
                  <c:v>1</c:v>
                </c:pt>
                <c:pt idx="6">
                  <c:v>8</c:v>
                </c:pt>
                <c:pt idx="7">
                  <c:v>1</c:v>
                </c:pt>
                <c:pt idx="8">
                  <c:v>1</c:v>
                </c:pt>
                <c:pt idx="9">
                  <c:v>1</c:v>
                </c:pt>
                <c:pt idx="10">
                  <c:v>1</c:v>
                </c:pt>
                <c:pt idx="11">
                  <c:v>1</c:v>
                </c:pt>
                <c:pt idx="12">
                  <c:v>1</c:v>
                </c:pt>
                <c:pt idx="13">
                  <c:v>2</c:v>
                </c:pt>
                <c:pt idx="14">
                  <c:v>14</c:v>
                </c:pt>
                <c:pt idx="15">
                  <c:v>1</c:v>
                </c:pt>
                <c:pt idx="16">
                  <c:v>1</c:v>
                </c:pt>
                <c:pt idx="17">
                  <c:v>1</c:v>
                </c:pt>
                <c:pt idx="18">
                  <c:v>1</c:v>
                </c:pt>
                <c:pt idx="19">
                  <c:v>1</c:v>
                </c:pt>
                <c:pt idx="20">
                  <c:v>2</c:v>
                </c:pt>
                <c:pt idx="21">
                  <c:v>1</c:v>
                </c:pt>
                <c:pt idx="22">
                  <c:v>1</c:v>
                </c:pt>
                <c:pt idx="23">
                  <c:v>2</c:v>
                </c:pt>
                <c:pt idx="24">
                  <c:v>4</c:v>
                </c:pt>
                <c:pt idx="25">
                  <c:v>1</c:v>
                </c:pt>
                <c:pt idx="26">
                  <c:v>1</c:v>
                </c:pt>
                <c:pt idx="27">
                  <c:v>1</c:v>
                </c:pt>
                <c:pt idx="28">
                  <c:v>1</c:v>
                </c:pt>
                <c:pt idx="29">
                  <c:v>1</c:v>
                </c:pt>
                <c:pt idx="30">
                  <c:v>1</c:v>
                </c:pt>
                <c:pt idx="31">
                  <c:v>1</c:v>
                </c:pt>
                <c:pt idx="32">
                  <c:v>3</c:v>
                </c:pt>
                <c:pt idx="33">
                  <c:v>1</c:v>
                </c:pt>
                <c:pt idx="34">
                  <c:v>1</c:v>
                </c:pt>
                <c:pt idx="35">
                  <c:v>1</c:v>
                </c:pt>
              </c:numCache>
            </c:numRef>
          </c:val>
          <c:extLst>
            <c:ext xmlns:c16="http://schemas.microsoft.com/office/drawing/2014/chart" uri="{C3380CC4-5D6E-409C-BE32-E72D297353CC}">
              <c16:uniqueId val="{00000016-CA64-7A45-95E0-5F97CB411EFA}"/>
            </c:ext>
          </c:extLst>
        </c:ser>
        <c:ser>
          <c:idx val="1"/>
          <c:order val="1"/>
          <c:tx>
            <c:strRef>
              <c:f>'Course distribution'!$C$3</c:f>
              <c:strCache>
                <c:ptCount val="1"/>
                <c:pt idx="0">
                  <c:v>Anxiety</c:v>
                </c:pt>
              </c:strCache>
            </c:strRef>
          </c:tx>
          <c:spPr>
            <a:solidFill>
              <a:schemeClr val="accent2"/>
            </a:solidFill>
            <a:ln>
              <a:noFill/>
            </a:ln>
            <a:effectLst/>
          </c:spPr>
          <c:invertIfNegative val="0"/>
          <c:cat>
            <c:strRef>
              <c:f>'Course distribution'!$A$4:$A$39</c:f>
              <c:strCache>
                <c:ptCount val="36"/>
                <c:pt idx="0">
                  <c:v>Accounting </c:v>
                </c:pt>
                <c:pt idx="1">
                  <c:v>Banking Studies</c:v>
                </c:pt>
                <c:pt idx="2">
                  <c:v>BCS</c:v>
                </c:pt>
                <c:pt idx="3">
                  <c:v>BENL</c:v>
                </c:pt>
                <c:pt idx="4">
                  <c:v>Biomedical science</c:v>
                </c:pt>
                <c:pt idx="5">
                  <c:v>Biotechnology</c:v>
                </c:pt>
                <c:pt idx="6">
                  <c:v>BIT</c:v>
                </c:pt>
                <c:pt idx="7">
                  <c:v>Business Administration</c:v>
                </c:pt>
                <c:pt idx="8">
                  <c:v>CTS</c:v>
                </c:pt>
                <c:pt idx="9">
                  <c:v>Diploma Nursing</c:v>
                </c:pt>
                <c:pt idx="10">
                  <c:v>DIPLOMA TESL</c:v>
                </c:pt>
                <c:pt idx="11">
                  <c:v>Econs</c:v>
                </c:pt>
                <c:pt idx="12">
                  <c:v>engin</c:v>
                </c:pt>
                <c:pt idx="13">
                  <c:v>Engine</c:v>
                </c:pt>
                <c:pt idx="14">
                  <c:v>Engineering</c:v>
                </c:pt>
                <c:pt idx="15">
                  <c:v>Fiqh</c:v>
                </c:pt>
                <c:pt idx="16">
                  <c:v>Fiqh fatwa </c:v>
                </c:pt>
                <c:pt idx="17">
                  <c:v>Human Resources</c:v>
                </c:pt>
                <c:pt idx="18">
                  <c:v>Human Sciences </c:v>
                </c:pt>
                <c:pt idx="19">
                  <c:v>Irkhs</c:v>
                </c:pt>
                <c:pt idx="20">
                  <c:v>Islamic education</c:v>
                </c:pt>
                <c:pt idx="21">
                  <c:v>IT</c:v>
                </c:pt>
                <c:pt idx="22">
                  <c:v>KENMS</c:v>
                </c:pt>
                <c:pt idx="23">
                  <c:v>KIRKHS</c:v>
                </c:pt>
                <c:pt idx="24">
                  <c:v>KOE</c:v>
                </c:pt>
                <c:pt idx="25">
                  <c:v>Kop</c:v>
                </c:pt>
                <c:pt idx="26">
                  <c:v>Law</c:v>
                </c:pt>
                <c:pt idx="27">
                  <c:v>Laws</c:v>
                </c:pt>
                <c:pt idx="28">
                  <c:v>Malcom</c:v>
                </c:pt>
                <c:pt idx="29">
                  <c:v>Mathemathics</c:v>
                </c:pt>
                <c:pt idx="30">
                  <c:v>Pendidikan islam</c:v>
                </c:pt>
                <c:pt idx="31">
                  <c:v>Pendidikan Islam </c:v>
                </c:pt>
                <c:pt idx="32">
                  <c:v>Psychology</c:v>
                </c:pt>
                <c:pt idx="33">
                  <c:v>Radiography</c:v>
                </c:pt>
                <c:pt idx="34">
                  <c:v>TAASL</c:v>
                </c:pt>
                <c:pt idx="35">
                  <c:v>Usuluddin </c:v>
                </c:pt>
              </c:strCache>
            </c:strRef>
          </c:cat>
          <c:val>
            <c:numRef>
              <c:f>'Course distribution'!$C$4:$C$39</c:f>
              <c:numCache>
                <c:formatCode>General</c:formatCode>
                <c:ptCount val="36"/>
                <c:pt idx="0">
                  <c:v>1</c:v>
                </c:pt>
                <c:pt idx="1">
                  <c:v>1</c:v>
                </c:pt>
                <c:pt idx="2">
                  <c:v>17</c:v>
                </c:pt>
                <c:pt idx="3">
                  <c:v>3</c:v>
                </c:pt>
                <c:pt idx="4">
                  <c:v>4</c:v>
                </c:pt>
                <c:pt idx="5">
                  <c:v>1</c:v>
                </c:pt>
                <c:pt idx="6">
                  <c:v>8</c:v>
                </c:pt>
                <c:pt idx="7">
                  <c:v>1</c:v>
                </c:pt>
                <c:pt idx="8">
                  <c:v>1</c:v>
                </c:pt>
                <c:pt idx="9">
                  <c:v>1</c:v>
                </c:pt>
                <c:pt idx="10">
                  <c:v>1</c:v>
                </c:pt>
                <c:pt idx="11">
                  <c:v>1</c:v>
                </c:pt>
                <c:pt idx="12">
                  <c:v>1</c:v>
                </c:pt>
                <c:pt idx="13">
                  <c:v>2</c:v>
                </c:pt>
                <c:pt idx="14">
                  <c:v>14</c:v>
                </c:pt>
                <c:pt idx="15">
                  <c:v>1</c:v>
                </c:pt>
                <c:pt idx="16">
                  <c:v>1</c:v>
                </c:pt>
                <c:pt idx="17">
                  <c:v>1</c:v>
                </c:pt>
                <c:pt idx="18">
                  <c:v>1</c:v>
                </c:pt>
                <c:pt idx="19">
                  <c:v>1</c:v>
                </c:pt>
                <c:pt idx="20">
                  <c:v>2</c:v>
                </c:pt>
                <c:pt idx="21">
                  <c:v>1</c:v>
                </c:pt>
                <c:pt idx="22">
                  <c:v>1</c:v>
                </c:pt>
                <c:pt idx="23">
                  <c:v>2</c:v>
                </c:pt>
                <c:pt idx="24">
                  <c:v>4</c:v>
                </c:pt>
                <c:pt idx="25">
                  <c:v>1</c:v>
                </c:pt>
                <c:pt idx="26">
                  <c:v>1</c:v>
                </c:pt>
                <c:pt idx="27">
                  <c:v>1</c:v>
                </c:pt>
                <c:pt idx="28">
                  <c:v>1</c:v>
                </c:pt>
                <c:pt idx="29">
                  <c:v>1</c:v>
                </c:pt>
                <c:pt idx="30">
                  <c:v>1</c:v>
                </c:pt>
                <c:pt idx="31">
                  <c:v>1</c:v>
                </c:pt>
                <c:pt idx="32">
                  <c:v>3</c:v>
                </c:pt>
                <c:pt idx="33">
                  <c:v>1</c:v>
                </c:pt>
                <c:pt idx="34">
                  <c:v>1</c:v>
                </c:pt>
                <c:pt idx="35">
                  <c:v>1</c:v>
                </c:pt>
              </c:numCache>
            </c:numRef>
          </c:val>
          <c:extLst>
            <c:ext xmlns:c16="http://schemas.microsoft.com/office/drawing/2014/chart" uri="{C3380CC4-5D6E-409C-BE32-E72D297353CC}">
              <c16:uniqueId val="{00000017-CA64-7A45-95E0-5F97CB411EFA}"/>
            </c:ext>
          </c:extLst>
        </c:ser>
        <c:ser>
          <c:idx val="2"/>
          <c:order val="2"/>
          <c:tx>
            <c:strRef>
              <c:f>'Course distribution'!$D$3</c:f>
              <c:strCache>
                <c:ptCount val="1"/>
                <c:pt idx="0">
                  <c:v>Depression</c:v>
                </c:pt>
              </c:strCache>
            </c:strRef>
          </c:tx>
          <c:spPr>
            <a:solidFill>
              <a:schemeClr val="accent3"/>
            </a:solidFill>
            <a:ln>
              <a:noFill/>
            </a:ln>
            <a:effectLst/>
          </c:spPr>
          <c:invertIfNegative val="0"/>
          <c:cat>
            <c:strRef>
              <c:f>'Course distribution'!$A$4:$A$39</c:f>
              <c:strCache>
                <c:ptCount val="36"/>
                <c:pt idx="0">
                  <c:v>Accounting </c:v>
                </c:pt>
                <c:pt idx="1">
                  <c:v>Banking Studies</c:v>
                </c:pt>
                <c:pt idx="2">
                  <c:v>BCS</c:v>
                </c:pt>
                <c:pt idx="3">
                  <c:v>BENL</c:v>
                </c:pt>
                <c:pt idx="4">
                  <c:v>Biomedical science</c:v>
                </c:pt>
                <c:pt idx="5">
                  <c:v>Biotechnology</c:v>
                </c:pt>
                <c:pt idx="6">
                  <c:v>BIT</c:v>
                </c:pt>
                <c:pt idx="7">
                  <c:v>Business Administration</c:v>
                </c:pt>
                <c:pt idx="8">
                  <c:v>CTS</c:v>
                </c:pt>
                <c:pt idx="9">
                  <c:v>Diploma Nursing</c:v>
                </c:pt>
                <c:pt idx="10">
                  <c:v>DIPLOMA TESL</c:v>
                </c:pt>
                <c:pt idx="11">
                  <c:v>Econs</c:v>
                </c:pt>
                <c:pt idx="12">
                  <c:v>engin</c:v>
                </c:pt>
                <c:pt idx="13">
                  <c:v>Engine</c:v>
                </c:pt>
                <c:pt idx="14">
                  <c:v>Engineering</c:v>
                </c:pt>
                <c:pt idx="15">
                  <c:v>Fiqh</c:v>
                </c:pt>
                <c:pt idx="16">
                  <c:v>Fiqh fatwa </c:v>
                </c:pt>
                <c:pt idx="17">
                  <c:v>Human Resources</c:v>
                </c:pt>
                <c:pt idx="18">
                  <c:v>Human Sciences </c:v>
                </c:pt>
                <c:pt idx="19">
                  <c:v>Irkhs</c:v>
                </c:pt>
                <c:pt idx="20">
                  <c:v>Islamic education</c:v>
                </c:pt>
                <c:pt idx="21">
                  <c:v>IT</c:v>
                </c:pt>
                <c:pt idx="22">
                  <c:v>KENMS</c:v>
                </c:pt>
                <c:pt idx="23">
                  <c:v>KIRKHS</c:v>
                </c:pt>
                <c:pt idx="24">
                  <c:v>KOE</c:v>
                </c:pt>
                <c:pt idx="25">
                  <c:v>Kop</c:v>
                </c:pt>
                <c:pt idx="26">
                  <c:v>Law</c:v>
                </c:pt>
                <c:pt idx="27">
                  <c:v>Laws</c:v>
                </c:pt>
                <c:pt idx="28">
                  <c:v>Malcom</c:v>
                </c:pt>
                <c:pt idx="29">
                  <c:v>Mathemathics</c:v>
                </c:pt>
                <c:pt idx="30">
                  <c:v>Pendidikan islam</c:v>
                </c:pt>
                <c:pt idx="31">
                  <c:v>Pendidikan Islam </c:v>
                </c:pt>
                <c:pt idx="32">
                  <c:v>Psychology</c:v>
                </c:pt>
                <c:pt idx="33">
                  <c:v>Radiography</c:v>
                </c:pt>
                <c:pt idx="34">
                  <c:v>TAASL</c:v>
                </c:pt>
                <c:pt idx="35">
                  <c:v>Usuluddin </c:v>
                </c:pt>
              </c:strCache>
            </c:strRef>
          </c:cat>
          <c:val>
            <c:numRef>
              <c:f>'Course distribution'!$D$4:$D$39</c:f>
              <c:numCache>
                <c:formatCode>General</c:formatCode>
                <c:ptCount val="36"/>
                <c:pt idx="0">
                  <c:v>1</c:v>
                </c:pt>
                <c:pt idx="1">
                  <c:v>1</c:v>
                </c:pt>
                <c:pt idx="2">
                  <c:v>17</c:v>
                </c:pt>
                <c:pt idx="3">
                  <c:v>3</c:v>
                </c:pt>
                <c:pt idx="4">
                  <c:v>4</c:v>
                </c:pt>
                <c:pt idx="5">
                  <c:v>1</c:v>
                </c:pt>
                <c:pt idx="6">
                  <c:v>8</c:v>
                </c:pt>
                <c:pt idx="7">
                  <c:v>1</c:v>
                </c:pt>
                <c:pt idx="8">
                  <c:v>1</c:v>
                </c:pt>
                <c:pt idx="9">
                  <c:v>1</c:v>
                </c:pt>
                <c:pt idx="10">
                  <c:v>1</c:v>
                </c:pt>
                <c:pt idx="11">
                  <c:v>1</c:v>
                </c:pt>
                <c:pt idx="12">
                  <c:v>1</c:v>
                </c:pt>
                <c:pt idx="13">
                  <c:v>2</c:v>
                </c:pt>
                <c:pt idx="14">
                  <c:v>14</c:v>
                </c:pt>
                <c:pt idx="15">
                  <c:v>1</c:v>
                </c:pt>
                <c:pt idx="16">
                  <c:v>1</c:v>
                </c:pt>
                <c:pt idx="17">
                  <c:v>1</c:v>
                </c:pt>
                <c:pt idx="18">
                  <c:v>1</c:v>
                </c:pt>
                <c:pt idx="19">
                  <c:v>1</c:v>
                </c:pt>
                <c:pt idx="20">
                  <c:v>2</c:v>
                </c:pt>
                <c:pt idx="21">
                  <c:v>1</c:v>
                </c:pt>
                <c:pt idx="22">
                  <c:v>1</c:v>
                </c:pt>
                <c:pt idx="23">
                  <c:v>2</c:v>
                </c:pt>
                <c:pt idx="24">
                  <c:v>4</c:v>
                </c:pt>
                <c:pt idx="25">
                  <c:v>1</c:v>
                </c:pt>
                <c:pt idx="26">
                  <c:v>1</c:v>
                </c:pt>
                <c:pt idx="27">
                  <c:v>1</c:v>
                </c:pt>
                <c:pt idx="28">
                  <c:v>1</c:v>
                </c:pt>
                <c:pt idx="29">
                  <c:v>1</c:v>
                </c:pt>
                <c:pt idx="30">
                  <c:v>1</c:v>
                </c:pt>
                <c:pt idx="31">
                  <c:v>1</c:v>
                </c:pt>
                <c:pt idx="32">
                  <c:v>3</c:v>
                </c:pt>
                <c:pt idx="33">
                  <c:v>1</c:v>
                </c:pt>
                <c:pt idx="34">
                  <c:v>1</c:v>
                </c:pt>
                <c:pt idx="35">
                  <c:v>1</c:v>
                </c:pt>
              </c:numCache>
            </c:numRef>
          </c:val>
          <c:extLst>
            <c:ext xmlns:c16="http://schemas.microsoft.com/office/drawing/2014/chart" uri="{C3380CC4-5D6E-409C-BE32-E72D297353CC}">
              <c16:uniqueId val="{00000018-CA64-7A45-95E0-5F97CB411EFA}"/>
            </c:ext>
          </c:extLst>
        </c:ser>
        <c:dLbls>
          <c:showLegendKey val="0"/>
          <c:showVal val="0"/>
          <c:showCatName val="0"/>
          <c:showSerName val="0"/>
          <c:showPercent val="0"/>
          <c:showBubbleSize val="0"/>
        </c:dLbls>
        <c:gapWidth val="219"/>
        <c:overlap val="-27"/>
        <c:axId val="1727546144"/>
        <c:axId val="1305785072"/>
      </c:barChart>
      <c:catAx>
        <c:axId val="172754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305785072"/>
        <c:crosses val="autoZero"/>
        <c:auto val="1"/>
        <c:lblAlgn val="ctr"/>
        <c:lblOffset val="100"/>
        <c:noMultiLvlLbl val="0"/>
      </c:catAx>
      <c:valAx>
        <c:axId val="130578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72754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Mental health.xlsx]Age, gender!PivotTable3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123325493404234E-2"/>
          <c:y val="0.30188679245283018"/>
          <c:w val="0.86689968299417119"/>
          <c:h val="0.54762264150943407"/>
        </c:manualLayout>
      </c:layout>
      <c:barChart>
        <c:barDir val="col"/>
        <c:grouping val="clustered"/>
        <c:varyColors val="0"/>
        <c:ser>
          <c:idx val="0"/>
          <c:order val="0"/>
          <c:tx>
            <c:strRef>
              <c:f>'Age, gender'!$B$3</c:f>
              <c:strCache>
                <c:ptCount val="1"/>
                <c:pt idx="0">
                  <c:v>Depression</c:v>
                </c:pt>
              </c:strCache>
            </c:strRef>
          </c:tx>
          <c:spPr>
            <a:solidFill>
              <a:schemeClr val="accent1"/>
            </a:solidFill>
            <a:ln>
              <a:noFill/>
            </a:ln>
            <a:effectLst/>
          </c:spPr>
          <c:invertIfNegative val="0"/>
          <c:cat>
            <c:strRef>
              <c:f>'Age, gender'!$A$4:$A$11</c:f>
              <c:strCache>
                <c:ptCount val="7"/>
                <c:pt idx="0">
                  <c:v>18</c:v>
                </c:pt>
                <c:pt idx="1">
                  <c:v>19</c:v>
                </c:pt>
                <c:pt idx="2">
                  <c:v>20</c:v>
                </c:pt>
                <c:pt idx="3">
                  <c:v>21</c:v>
                </c:pt>
                <c:pt idx="4">
                  <c:v>22</c:v>
                </c:pt>
                <c:pt idx="5">
                  <c:v>23</c:v>
                </c:pt>
                <c:pt idx="6">
                  <c:v>24</c:v>
                </c:pt>
              </c:strCache>
            </c:strRef>
          </c:cat>
          <c:val>
            <c:numRef>
              <c:f>'Age, gender'!$B$4:$B$11</c:f>
              <c:numCache>
                <c:formatCode>General</c:formatCode>
                <c:ptCount val="7"/>
                <c:pt idx="0">
                  <c:v>32</c:v>
                </c:pt>
                <c:pt idx="1">
                  <c:v>21</c:v>
                </c:pt>
                <c:pt idx="2">
                  <c:v>6</c:v>
                </c:pt>
                <c:pt idx="3">
                  <c:v>3</c:v>
                </c:pt>
                <c:pt idx="4">
                  <c:v>2</c:v>
                </c:pt>
                <c:pt idx="5">
                  <c:v>13</c:v>
                </c:pt>
                <c:pt idx="6">
                  <c:v>23</c:v>
                </c:pt>
              </c:numCache>
            </c:numRef>
          </c:val>
          <c:extLst>
            <c:ext xmlns:c16="http://schemas.microsoft.com/office/drawing/2014/chart" uri="{C3380CC4-5D6E-409C-BE32-E72D297353CC}">
              <c16:uniqueId val="{0000000A-7A63-C343-8040-A34C74A25397}"/>
            </c:ext>
          </c:extLst>
        </c:ser>
        <c:ser>
          <c:idx val="1"/>
          <c:order val="1"/>
          <c:tx>
            <c:strRef>
              <c:f>'Age, gender'!$C$3</c:f>
              <c:strCache>
                <c:ptCount val="1"/>
                <c:pt idx="0">
                  <c:v>Anxiety</c:v>
                </c:pt>
              </c:strCache>
            </c:strRef>
          </c:tx>
          <c:spPr>
            <a:solidFill>
              <a:schemeClr val="accent2"/>
            </a:solidFill>
            <a:ln>
              <a:noFill/>
            </a:ln>
            <a:effectLst/>
          </c:spPr>
          <c:invertIfNegative val="0"/>
          <c:cat>
            <c:strRef>
              <c:f>'Age, gender'!$A$4:$A$11</c:f>
              <c:strCache>
                <c:ptCount val="7"/>
                <c:pt idx="0">
                  <c:v>18</c:v>
                </c:pt>
                <c:pt idx="1">
                  <c:v>19</c:v>
                </c:pt>
                <c:pt idx="2">
                  <c:v>20</c:v>
                </c:pt>
                <c:pt idx="3">
                  <c:v>21</c:v>
                </c:pt>
                <c:pt idx="4">
                  <c:v>22</c:v>
                </c:pt>
                <c:pt idx="5">
                  <c:v>23</c:v>
                </c:pt>
                <c:pt idx="6">
                  <c:v>24</c:v>
                </c:pt>
              </c:strCache>
            </c:strRef>
          </c:cat>
          <c:val>
            <c:numRef>
              <c:f>'Age, gender'!$C$4:$C$11</c:f>
              <c:numCache>
                <c:formatCode>General</c:formatCode>
                <c:ptCount val="7"/>
                <c:pt idx="0">
                  <c:v>32</c:v>
                </c:pt>
                <c:pt idx="1">
                  <c:v>21</c:v>
                </c:pt>
                <c:pt idx="2">
                  <c:v>6</c:v>
                </c:pt>
                <c:pt idx="3">
                  <c:v>3</c:v>
                </c:pt>
                <c:pt idx="4">
                  <c:v>2</c:v>
                </c:pt>
                <c:pt idx="5">
                  <c:v>13</c:v>
                </c:pt>
                <c:pt idx="6">
                  <c:v>23</c:v>
                </c:pt>
              </c:numCache>
            </c:numRef>
          </c:val>
          <c:extLst>
            <c:ext xmlns:c16="http://schemas.microsoft.com/office/drawing/2014/chart" uri="{C3380CC4-5D6E-409C-BE32-E72D297353CC}">
              <c16:uniqueId val="{0000000B-7A63-C343-8040-A34C74A25397}"/>
            </c:ext>
          </c:extLst>
        </c:ser>
        <c:ser>
          <c:idx val="2"/>
          <c:order val="2"/>
          <c:tx>
            <c:strRef>
              <c:f>'Age, gender'!$D$3</c:f>
              <c:strCache>
                <c:ptCount val="1"/>
                <c:pt idx="0">
                  <c:v>Panic attack</c:v>
                </c:pt>
              </c:strCache>
            </c:strRef>
          </c:tx>
          <c:spPr>
            <a:solidFill>
              <a:schemeClr val="accent3"/>
            </a:solidFill>
            <a:ln>
              <a:noFill/>
            </a:ln>
            <a:effectLst/>
          </c:spPr>
          <c:invertIfNegative val="0"/>
          <c:cat>
            <c:strRef>
              <c:f>'Age, gender'!$A$4:$A$11</c:f>
              <c:strCache>
                <c:ptCount val="7"/>
                <c:pt idx="0">
                  <c:v>18</c:v>
                </c:pt>
                <c:pt idx="1">
                  <c:v>19</c:v>
                </c:pt>
                <c:pt idx="2">
                  <c:v>20</c:v>
                </c:pt>
                <c:pt idx="3">
                  <c:v>21</c:v>
                </c:pt>
                <c:pt idx="4">
                  <c:v>22</c:v>
                </c:pt>
                <c:pt idx="5">
                  <c:v>23</c:v>
                </c:pt>
                <c:pt idx="6">
                  <c:v>24</c:v>
                </c:pt>
              </c:strCache>
            </c:strRef>
          </c:cat>
          <c:val>
            <c:numRef>
              <c:f>'Age, gender'!$D$4:$D$11</c:f>
              <c:numCache>
                <c:formatCode>General</c:formatCode>
                <c:ptCount val="7"/>
                <c:pt idx="0">
                  <c:v>32</c:v>
                </c:pt>
                <c:pt idx="1">
                  <c:v>21</c:v>
                </c:pt>
                <c:pt idx="2">
                  <c:v>6</c:v>
                </c:pt>
                <c:pt idx="3">
                  <c:v>3</c:v>
                </c:pt>
                <c:pt idx="4">
                  <c:v>2</c:v>
                </c:pt>
                <c:pt idx="5">
                  <c:v>13</c:v>
                </c:pt>
                <c:pt idx="6">
                  <c:v>23</c:v>
                </c:pt>
              </c:numCache>
            </c:numRef>
          </c:val>
          <c:extLst>
            <c:ext xmlns:c16="http://schemas.microsoft.com/office/drawing/2014/chart" uri="{C3380CC4-5D6E-409C-BE32-E72D297353CC}">
              <c16:uniqueId val="{0000000C-7A63-C343-8040-A34C74A25397}"/>
            </c:ext>
          </c:extLst>
        </c:ser>
        <c:dLbls>
          <c:showLegendKey val="0"/>
          <c:showVal val="0"/>
          <c:showCatName val="0"/>
          <c:showSerName val="0"/>
          <c:showPercent val="0"/>
          <c:showBubbleSize val="0"/>
        </c:dLbls>
        <c:gapWidth val="219"/>
        <c:overlap val="-27"/>
        <c:axId val="1573969120"/>
        <c:axId val="1573970832"/>
      </c:barChart>
      <c:catAx>
        <c:axId val="157396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573970832"/>
        <c:crosses val="autoZero"/>
        <c:auto val="1"/>
        <c:lblAlgn val="ctr"/>
        <c:lblOffset val="100"/>
        <c:noMultiLvlLbl val="0"/>
      </c:catAx>
      <c:valAx>
        <c:axId val="157397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57396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A"/>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736600</xdr:colOff>
      <xdr:row>1</xdr:row>
      <xdr:rowOff>38100</xdr:rowOff>
    </xdr:from>
    <xdr:to>
      <xdr:col>8</xdr:col>
      <xdr:colOff>355600</xdr:colOff>
      <xdr:row>14</xdr:row>
      <xdr:rowOff>139700</xdr:rowOff>
    </xdr:to>
    <xdr:graphicFrame macro="">
      <xdr:nvGraphicFramePr>
        <xdr:cNvPr id="3" name="Chart 2">
          <a:extLst>
            <a:ext uri="{FF2B5EF4-FFF2-40B4-BE49-F238E27FC236}">
              <a16:creationId xmlns:a16="http://schemas.microsoft.com/office/drawing/2014/main" id="{90290A39-B0AF-C042-8802-C9A3D25F7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101600</xdr:colOff>
      <xdr:row>2</xdr:row>
      <xdr:rowOff>12700</xdr:rowOff>
    </xdr:from>
    <xdr:to>
      <xdr:col>12</xdr:col>
      <xdr:colOff>546100</xdr:colOff>
      <xdr:row>15</xdr:row>
      <xdr:rowOff>114300</xdr:rowOff>
    </xdr:to>
    <xdr:graphicFrame macro="">
      <xdr:nvGraphicFramePr>
        <xdr:cNvPr id="2" name="Chart 1">
          <a:extLst>
            <a:ext uri="{FF2B5EF4-FFF2-40B4-BE49-F238E27FC236}">
              <a16:creationId xmlns:a16="http://schemas.microsoft.com/office/drawing/2014/main" id="{0359C1FE-EEE1-4145-20DD-83758B0DF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127000</xdr:colOff>
      <xdr:row>2</xdr:row>
      <xdr:rowOff>12700</xdr:rowOff>
    </xdr:from>
    <xdr:to>
      <xdr:col>7</xdr:col>
      <xdr:colOff>25400</xdr:colOff>
      <xdr:row>8</xdr:row>
      <xdr:rowOff>139700</xdr:rowOff>
    </xdr:to>
    <mc:AlternateContent xmlns:mc="http://schemas.openxmlformats.org/markup-compatibility/2006">
      <mc:Choice xmlns:a14="http://schemas.microsoft.com/office/drawing/2010/main" Requires="a14">
        <xdr:graphicFrame macro="">
          <xdr:nvGraphicFramePr>
            <xdr:cNvPr id="3" name="Marital status">
              <a:extLst>
                <a:ext uri="{FF2B5EF4-FFF2-40B4-BE49-F238E27FC236}">
                  <a16:creationId xmlns:a16="http://schemas.microsoft.com/office/drawing/2014/main" id="{53073A8B-81A2-404D-B408-51FF8FB5A7F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898900" y="419100"/>
              <a:ext cx="1828800" cy="1346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0.44072</cdr:x>
      <cdr:y>0.06944</cdr:y>
    </cdr:from>
    <cdr:to>
      <cdr:x>0.53995</cdr:x>
      <cdr:y>0.25926</cdr:y>
    </cdr:to>
    <cdr:sp macro="" textlink="">
      <cdr:nvSpPr>
        <cdr:cNvPr id="2" name="TextBox 1">
          <a:extLst xmlns:a="http://schemas.openxmlformats.org/drawingml/2006/main">
            <a:ext uri="{FF2B5EF4-FFF2-40B4-BE49-F238E27FC236}">
              <a16:creationId xmlns:a16="http://schemas.microsoft.com/office/drawing/2014/main" id="{19017B9B-1E0F-4D3B-D4F5-40A220D031B5}"/>
            </a:ext>
          </a:extLst>
        </cdr:cNvPr>
        <cdr:cNvSpPr txBox="1"/>
      </cdr:nvSpPr>
      <cdr:spPr>
        <a:xfrm xmlns:a="http://schemas.openxmlformats.org/drawingml/2006/main">
          <a:off x="4343400" y="190500"/>
          <a:ext cx="977900" cy="520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2400"/>
            <a:t>CGPA</a:t>
          </a:r>
        </a:p>
      </cdr:txBody>
    </cdr:sp>
  </cdr:relSizeAnchor>
</c:userShapes>
</file>

<file path=xl/drawings/drawing4.xml><?xml version="1.0" encoding="utf-8"?>
<xdr:wsDr xmlns:xdr="http://schemas.openxmlformats.org/drawingml/2006/spreadsheetDrawing" xmlns:a="http://schemas.openxmlformats.org/drawingml/2006/main">
  <xdr:twoCellAnchor>
    <xdr:from>
      <xdr:col>5</xdr:col>
      <xdr:colOff>57150</xdr:colOff>
      <xdr:row>2</xdr:row>
      <xdr:rowOff>38100</xdr:rowOff>
    </xdr:from>
    <xdr:to>
      <xdr:col>10</xdr:col>
      <xdr:colOff>114300</xdr:colOff>
      <xdr:row>25</xdr:row>
      <xdr:rowOff>190500</xdr:rowOff>
    </xdr:to>
    <xdr:graphicFrame macro="">
      <xdr:nvGraphicFramePr>
        <xdr:cNvPr id="3" name="Alge and coditions">
          <a:extLst>
            <a:ext uri="{FF2B5EF4-FFF2-40B4-BE49-F238E27FC236}">
              <a16:creationId xmlns:a16="http://schemas.microsoft.com/office/drawing/2014/main" id="{B565C0D9-0379-A263-73AB-D99F47BDA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0.34088</cdr:x>
      <cdr:y>0.08421</cdr:y>
    </cdr:from>
    <cdr:to>
      <cdr:x>0.85957</cdr:x>
      <cdr:y>0.18947</cdr:y>
    </cdr:to>
    <cdr:sp macro="" textlink="">
      <cdr:nvSpPr>
        <cdr:cNvPr id="2" name="TextBox 1">
          <a:extLst xmlns:a="http://schemas.openxmlformats.org/drawingml/2006/main">
            <a:ext uri="{FF2B5EF4-FFF2-40B4-BE49-F238E27FC236}">
              <a16:creationId xmlns:a16="http://schemas.microsoft.com/office/drawing/2014/main" id="{DFFC60F9-A065-C2FF-7BDA-6588865D71FB}"/>
            </a:ext>
          </a:extLst>
        </cdr:cNvPr>
        <cdr:cNvSpPr txBox="1"/>
      </cdr:nvSpPr>
      <cdr:spPr>
        <a:xfrm xmlns:a="http://schemas.openxmlformats.org/drawingml/2006/main">
          <a:off x="1911350" y="406400"/>
          <a:ext cx="2908300" cy="508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2000"/>
            <a:t>Age</a:t>
          </a:r>
          <a:r>
            <a:rPr lang="en-GB" sz="1200"/>
            <a:t> </a:t>
          </a:r>
          <a:r>
            <a:rPr lang="en-GB" sz="2000"/>
            <a:t>distribution</a:t>
          </a:r>
        </a:p>
        <a:p xmlns:a="http://schemas.openxmlformats.org/drawingml/2006/main">
          <a:endParaRPr lang="en-GB" sz="1100"/>
        </a:p>
      </cdr:txBody>
    </cdr:sp>
  </cdr:relSizeAnchor>
</c:userShapes>
</file>

<file path=xl/drawings/drawing6.xml><?xml version="1.0" encoding="utf-8"?>
<xdr:wsDr xmlns:xdr="http://schemas.openxmlformats.org/drawingml/2006/spreadsheetDrawing" xmlns:a="http://schemas.openxmlformats.org/drawingml/2006/main">
  <xdr:twoCellAnchor>
    <xdr:from>
      <xdr:col>5</xdr:col>
      <xdr:colOff>12700</xdr:colOff>
      <xdr:row>5</xdr:row>
      <xdr:rowOff>25400</xdr:rowOff>
    </xdr:from>
    <xdr:to>
      <xdr:col>11</xdr:col>
      <xdr:colOff>12700</xdr:colOff>
      <xdr:row>26</xdr:row>
      <xdr:rowOff>133350</xdr:rowOff>
    </xdr:to>
    <xdr:graphicFrame macro="">
      <xdr:nvGraphicFramePr>
        <xdr:cNvPr id="7" name="Chart 6">
          <a:extLst>
            <a:ext uri="{FF2B5EF4-FFF2-40B4-BE49-F238E27FC236}">
              <a16:creationId xmlns:a16="http://schemas.microsoft.com/office/drawing/2014/main" id="{8B69343B-24A5-3A5C-3037-C00FEC94C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698500</xdr:colOff>
      <xdr:row>13</xdr:row>
      <xdr:rowOff>127000</xdr:rowOff>
    </xdr:from>
    <xdr:to>
      <xdr:col>15</xdr:col>
      <xdr:colOff>50800</xdr:colOff>
      <xdr:row>26</xdr:row>
      <xdr:rowOff>104772</xdr:rowOff>
    </xdr:to>
    <mc:AlternateContent xmlns:mc="http://schemas.openxmlformats.org/markup-compatibility/2006">
      <mc:Choice xmlns:a14="http://schemas.microsoft.com/office/drawing/2010/main" Requires="a14">
        <xdr:graphicFrame macro="">
          <xdr:nvGraphicFramePr>
            <xdr:cNvPr id="13" name="Age">
              <a:extLst>
                <a:ext uri="{FF2B5EF4-FFF2-40B4-BE49-F238E27FC236}">
                  <a16:creationId xmlns:a16="http://schemas.microsoft.com/office/drawing/2014/main" id="{01988986-0F3C-53A9-1609-4B5595D17CDA}"/>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1125200" y="27686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406400</xdr:colOff>
      <xdr:row>6</xdr:row>
      <xdr:rowOff>50800</xdr:rowOff>
    </xdr:from>
    <xdr:to>
      <xdr:col>8</xdr:col>
      <xdr:colOff>546100</xdr:colOff>
      <xdr:row>8</xdr:row>
      <xdr:rowOff>63500</xdr:rowOff>
    </xdr:to>
    <xdr:sp macro="" textlink="">
      <xdr:nvSpPr>
        <xdr:cNvPr id="15" name="TextBox 14">
          <a:extLst>
            <a:ext uri="{FF2B5EF4-FFF2-40B4-BE49-F238E27FC236}">
              <a16:creationId xmlns:a16="http://schemas.microsoft.com/office/drawing/2014/main" id="{A044E264-E3AA-7B36-8342-2BB03243E18C}"/>
            </a:ext>
          </a:extLst>
        </xdr:cNvPr>
        <xdr:cNvSpPr txBox="1"/>
      </xdr:nvSpPr>
      <xdr:spPr>
        <a:xfrm>
          <a:off x="6705600" y="1270000"/>
          <a:ext cx="9652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t>Course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819150</xdr:colOff>
      <xdr:row>8</xdr:row>
      <xdr:rowOff>76200</xdr:rowOff>
    </xdr:from>
    <xdr:to>
      <xdr:col>16</xdr:col>
      <xdr:colOff>406400</xdr:colOff>
      <xdr:row>23</xdr:row>
      <xdr:rowOff>107950</xdr:rowOff>
    </xdr:to>
    <xdr:graphicFrame macro="">
      <xdr:nvGraphicFramePr>
        <xdr:cNvPr id="2" name="Chart 1">
          <a:extLst>
            <a:ext uri="{FF2B5EF4-FFF2-40B4-BE49-F238E27FC236}">
              <a16:creationId xmlns:a16="http://schemas.microsoft.com/office/drawing/2014/main" id="{4D8D5922-0A49-5E29-CE92-9E8C00807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50800</xdr:colOff>
      <xdr:row>1</xdr:row>
      <xdr:rowOff>12700</xdr:rowOff>
    </xdr:from>
    <xdr:to>
      <xdr:col>4</xdr:col>
      <xdr:colOff>0</xdr:colOff>
      <xdr:row>6</xdr:row>
      <xdr:rowOff>76200</xdr:rowOff>
    </xdr:to>
    <xdr:sp macro="" textlink="'Mental disorders'!P4">
      <xdr:nvSpPr>
        <xdr:cNvPr id="3" name="Rounded Rectangle 2">
          <a:extLst>
            <a:ext uri="{FF2B5EF4-FFF2-40B4-BE49-F238E27FC236}">
              <a16:creationId xmlns:a16="http://schemas.microsoft.com/office/drawing/2014/main" id="{64276339-2AAD-9709-F295-A5A2DBE1652A}"/>
            </a:ext>
          </a:extLst>
        </xdr:cNvPr>
        <xdr:cNvSpPr/>
      </xdr:nvSpPr>
      <xdr:spPr>
        <a:xfrm>
          <a:off x="876300" y="215900"/>
          <a:ext cx="2425700" cy="107950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0" i="0" u="none" strike="noStrike">
              <a:solidFill>
                <a:srgbClr val="000000"/>
              </a:solidFill>
              <a:latin typeface="Calibri"/>
              <a:cs typeface="Calibri"/>
            </a:rPr>
            <a:t>Total</a:t>
          </a:r>
          <a:r>
            <a:rPr lang="en-US" sz="2800" b="0" i="0" u="none" strike="noStrike" baseline="0">
              <a:solidFill>
                <a:srgbClr val="000000"/>
              </a:solidFill>
              <a:latin typeface="Calibri"/>
              <a:cs typeface="Calibri"/>
            </a:rPr>
            <a:t> students</a:t>
          </a:r>
          <a:endParaRPr lang="en-US" sz="2800" b="0" i="0" u="none" strike="noStrike">
            <a:solidFill>
              <a:srgbClr val="000000"/>
            </a:solidFill>
            <a:latin typeface="Calibri"/>
            <a:cs typeface="Calibri"/>
          </a:endParaRPr>
        </a:p>
        <a:p>
          <a:pPr algn="ctr"/>
          <a:fld id="{DFC2CF30-3D9F-6A47-84FA-10189CD073B7}" type="TxLink">
            <a:rPr lang="en-US" sz="2800" b="0" i="0" u="none" strike="noStrike">
              <a:solidFill>
                <a:srgbClr val="000000"/>
              </a:solidFill>
              <a:latin typeface="Calibri"/>
              <a:cs typeface="Calibri"/>
            </a:rPr>
            <a:t>100</a:t>
          </a:fld>
          <a:endParaRPr lang="en-GB" sz="4400" b="1"/>
        </a:p>
      </xdr:txBody>
    </xdr:sp>
    <xdr:clientData/>
  </xdr:twoCellAnchor>
  <xdr:twoCellAnchor>
    <xdr:from>
      <xdr:col>5</xdr:col>
      <xdr:colOff>749300</xdr:colOff>
      <xdr:row>1</xdr:row>
      <xdr:rowOff>25400</xdr:rowOff>
    </xdr:from>
    <xdr:to>
      <xdr:col>9</xdr:col>
      <xdr:colOff>12700</xdr:colOff>
      <xdr:row>6</xdr:row>
      <xdr:rowOff>88900</xdr:rowOff>
    </xdr:to>
    <xdr:sp macro="" textlink="'Mental disorders'!O4">
      <xdr:nvSpPr>
        <xdr:cNvPr id="5" name="Rounded Rectangle 4">
          <a:extLst>
            <a:ext uri="{FF2B5EF4-FFF2-40B4-BE49-F238E27FC236}">
              <a16:creationId xmlns:a16="http://schemas.microsoft.com/office/drawing/2014/main" id="{FE620D62-3C78-D3D3-F3F7-C38453D5B9CA}"/>
            </a:ext>
          </a:extLst>
        </xdr:cNvPr>
        <xdr:cNvSpPr/>
      </xdr:nvSpPr>
      <xdr:spPr>
        <a:xfrm>
          <a:off x="4876800" y="228600"/>
          <a:ext cx="2565400" cy="107950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0" i="0" u="none" strike="noStrike">
              <a:solidFill>
                <a:srgbClr val="000000"/>
              </a:solidFill>
              <a:latin typeface="Calibri"/>
              <a:cs typeface="Calibri"/>
            </a:rPr>
            <a:t>Depression</a:t>
          </a:r>
        </a:p>
        <a:p>
          <a:pPr algn="ctr"/>
          <a:fld id="{FE282A0D-41FE-B145-BEC1-CA65B21B468A}" type="TxLink">
            <a:rPr lang="en-US" sz="2800" b="0" i="0" u="none" strike="noStrike">
              <a:solidFill>
                <a:srgbClr val="000000"/>
              </a:solidFill>
              <a:latin typeface="Calibri"/>
              <a:cs typeface="Calibri"/>
            </a:rPr>
            <a:t>35</a:t>
          </a:fld>
          <a:r>
            <a:rPr lang="en-US" sz="2800" b="0" i="0" u="none" strike="noStrike">
              <a:solidFill>
                <a:srgbClr val="000000"/>
              </a:solidFill>
              <a:latin typeface="Calibri"/>
              <a:cs typeface="Calibri"/>
            </a:rPr>
            <a:t>%</a:t>
          </a:r>
          <a:endParaRPr lang="en-GB" sz="5400">
            <a:solidFill>
              <a:schemeClr val="tx1"/>
            </a:solidFill>
          </a:endParaRPr>
        </a:p>
      </xdr:txBody>
    </xdr:sp>
    <xdr:clientData/>
  </xdr:twoCellAnchor>
  <xdr:twoCellAnchor>
    <xdr:from>
      <xdr:col>11</xdr:col>
      <xdr:colOff>12700</xdr:colOff>
      <xdr:row>1</xdr:row>
      <xdr:rowOff>0</xdr:rowOff>
    </xdr:from>
    <xdr:to>
      <xdr:col>14</xdr:col>
      <xdr:colOff>50800</xdr:colOff>
      <xdr:row>6</xdr:row>
      <xdr:rowOff>88900</xdr:rowOff>
    </xdr:to>
    <xdr:sp macro="" textlink="'Mental disorders'!$O$5">
      <xdr:nvSpPr>
        <xdr:cNvPr id="6" name="Rounded Rectangle 5">
          <a:extLst>
            <a:ext uri="{FF2B5EF4-FFF2-40B4-BE49-F238E27FC236}">
              <a16:creationId xmlns:a16="http://schemas.microsoft.com/office/drawing/2014/main" id="{5615BD9C-771E-0F45-B9C9-C62E43930C10}"/>
            </a:ext>
          </a:extLst>
        </xdr:cNvPr>
        <xdr:cNvSpPr/>
      </xdr:nvSpPr>
      <xdr:spPr>
        <a:xfrm>
          <a:off x="9093200" y="203200"/>
          <a:ext cx="2514600" cy="110490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0" i="0" u="none" strike="noStrike">
              <a:solidFill>
                <a:srgbClr val="000000"/>
              </a:solidFill>
              <a:latin typeface="+mn-lt"/>
              <a:cs typeface="Calibri"/>
            </a:rPr>
            <a:t>Anxiety </a:t>
          </a:r>
        </a:p>
        <a:p>
          <a:pPr algn="ctr"/>
          <a:fld id="{8AFF8055-0144-134E-BA1C-263F59B22EBE}" type="TxLink">
            <a:rPr lang="en-US" sz="2800" b="0" i="0" u="none" strike="noStrike">
              <a:solidFill>
                <a:srgbClr val="000000"/>
              </a:solidFill>
              <a:latin typeface="Calibri"/>
              <a:cs typeface="Calibri"/>
            </a:rPr>
            <a:pPr algn="ctr"/>
            <a:t>34</a:t>
          </a:fld>
          <a:r>
            <a:rPr lang="en-US" sz="2800" b="0" i="0" u="none" strike="noStrike">
              <a:solidFill>
                <a:srgbClr val="000000"/>
              </a:solidFill>
              <a:latin typeface="Calibri"/>
              <a:cs typeface="Calibri"/>
            </a:rPr>
            <a:t> %</a:t>
          </a:r>
          <a:endParaRPr lang="en-GB" sz="2400"/>
        </a:p>
      </xdr:txBody>
    </xdr:sp>
    <xdr:clientData/>
  </xdr:twoCellAnchor>
  <xdr:twoCellAnchor>
    <xdr:from>
      <xdr:col>16</xdr:col>
      <xdr:colOff>25400</xdr:colOff>
      <xdr:row>1</xdr:row>
      <xdr:rowOff>12700</xdr:rowOff>
    </xdr:from>
    <xdr:to>
      <xdr:col>19</xdr:col>
      <xdr:colOff>139700</xdr:colOff>
      <xdr:row>6</xdr:row>
      <xdr:rowOff>88900</xdr:rowOff>
    </xdr:to>
    <xdr:sp macro="" textlink="'Mental disorders'!O6">
      <xdr:nvSpPr>
        <xdr:cNvPr id="7" name="Rounded Rectangle 6">
          <a:extLst>
            <a:ext uri="{FF2B5EF4-FFF2-40B4-BE49-F238E27FC236}">
              <a16:creationId xmlns:a16="http://schemas.microsoft.com/office/drawing/2014/main" id="{EDCE63D8-6BAA-5449-A6C0-2F2AB9AD4670}"/>
            </a:ext>
          </a:extLst>
        </xdr:cNvPr>
        <xdr:cNvSpPr/>
      </xdr:nvSpPr>
      <xdr:spPr>
        <a:xfrm>
          <a:off x="13233400" y="215900"/>
          <a:ext cx="2590800" cy="109220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0" i="0" u="none" strike="noStrike">
              <a:solidFill>
                <a:srgbClr val="000000"/>
              </a:solidFill>
              <a:latin typeface="+mn-lt"/>
              <a:cs typeface="Calibri"/>
            </a:rPr>
            <a:t>Panic attacks</a:t>
          </a:r>
        </a:p>
        <a:p>
          <a:pPr algn="ctr"/>
          <a:fld id="{B5930ECE-7724-D54B-87A9-7BE23FBA3284}" type="TxLink">
            <a:rPr lang="en-US" sz="2800" b="0" i="0" u="none" strike="noStrike">
              <a:solidFill>
                <a:srgbClr val="000000"/>
              </a:solidFill>
              <a:latin typeface="Calibri"/>
              <a:cs typeface="Calibri"/>
            </a:rPr>
            <a:pPr algn="ctr"/>
            <a:t>33</a:t>
          </a:fld>
          <a:r>
            <a:rPr lang="en-US" sz="2800" b="0" i="0" u="none" strike="noStrike">
              <a:solidFill>
                <a:srgbClr val="000000"/>
              </a:solidFill>
              <a:latin typeface="Calibri"/>
              <a:cs typeface="Calibri"/>
            </a:rPr>
            <a:t> %</a:t>
          </a:r>
          <a:endParaRPr lang="en-GB" sz="2400"/>
        </a:p>
      </xdr:txBody>
    </xdr:sp>
    <xdr:clientData/>
  </xdr:twoCellAnchor>
  <xdr:twoCellAnchor>
    <xdr:from>
      <xdr:col>15</xdr:col>
      <xdr:colOff>457200</xdr:colOff>
      <xdr:row>15</xdr:row>
      <xdr:rowOff>25400</xdr:rowOff>
    </xdr:from>
    <xdr:to>
      <xdr:col>21</xdr:col>
      <xdr:colOff>12700</xdr:colOff>
      <xdr:row>35</xdr:row>
      <xdr:rowOff>88900</xdr:rowOff>
    </xdr:to>
    <xdr:graphicFrame macro="">
      <xdr:nvGraphicFramePr>
        <xdr:cNvPr id="10" name="Chart 9">
          <a:extLst>
            <a:ext uri="{FF2B5EF4-FFF2-40B4-BE49-F238E27FC236}">
              <a16:creationId xmlns:a16="http://schemas.microsoft.com/office/drawing/2014/main" id="{790CA413-8A21-514C-9ADF-210F4314C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812800</xdr:colOff>
      <xdr:row>38</xdr:row>
      <xdr:rowOff>12700</xdr:rowOff>
    </xdr:from>
    <xdr:to>
      <xdr:col>21</xdr:col>
      <xdr:colOff>38100</xdr:colOff>
      <xdr:row>63</xdr:row>
      <xdr:rowOff>63500</xdr:rowOff>
    </xdr:to>
    <xdr:graphicFrame macro="">
      <xdr:nvGraphicFramePr>
        <xdr:cNvPr id="11" name="Chart 10">
          <a:extLst>
            <a:ext uri="{FF2B5EF4-FFF2-40B4-BE49-F238E27FC236}">
              <a16:creationId xmlns:a16="http://schemas.microsoft.com/office/drawing/2014/main" id="{131102FD-A4B0-754D-864A-B7921E088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12700</xdr:colOff>
      <xdr:row>15</xdr:row>
      <xdr:rowOff>76200</xdr:rowOff>
    </xdr:from>
    <xdr:to>
      <xdr:col>15</xdr:col>
      <xdr:colOff>88900</xdr:colOff>
      <xdr:row>36</xdr:row>
      <xdr:rowOff>0</xdr:rowOff>
    </xdr:to>
    <xdr:graphicFrame macro="">
      <xdr:nvGraphicFramePr>
        <xdr:cNvPr id="12" name="Alge and coditions">
          <a:extLst>
            <a:ext uri="{FF2B5EF4-FFF2-40B4-BE49-F238E27FC236}">
              <a16:creationId xmlns:a16="http://schemas.microsoft.com/office/drawing/2014/main" id="{ADA349DC-A3BD-3C4B-8F4A-B4FD207E6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139700</xdr:colOff>
      <xdr:row>38</xdr:row>
      <xdr:rowOff>38100</xdr:rowOff>
    </xdr:from>
    <xdr:to>
      <xdr:col>2</xdr:col>
      <xdr:colOff>596900</xdr:colOff>
      <xdr:row>63</xdr:row>
      <xdr:rowOff>152400</xdr:rowOff>
    </xdr:to>
    <mc:AlternateContent xmlns:mc="http://schemas.openxmlformats.org/markup-compatibility/2006">
      <mc:Choice xmlns:a14="http://schemas.microsoft.com/office/drawing/2010/main" Requires="a14">
        <xdr:graphicFrame macro="">
          <xdr:nvGraphicFramePr>
            <xdr:cNvPr id="13" name="Course 1">
              <a:extLst>
                <a:ext uri="{FF2B5EF4-FFF2-40B4-BE49-F238E27FC236}">
                  <a16:creationId xmlns:a16="http://schemas.microsoft.com/office/drawing/2014/main" id="{E262D476-2F2B-7A44-8AAD-F498A2949AF0}"/>
                </a:ext>
              </a:extLst>
            </xdr:cNvPr>
            <xdr:cNvGraphicFramePr/>
          </xdr:nvGraphicFramePr>
          <xdr:xfrm>
            <a:off x="0" y="0"/>
            <a:ext cx="0" cy="0"/>
          </xdr:xfrm>
          <a:graphic>
            <a:graphicData uri="http://schemas.microsoft.com/office/drawing/2010/slicer">
              <sle:slicer xmlns:sle="http://schemas.microsoft.com/office/drawing/2010/slicer" name="Course 1"/>
            </a:graphicData>
          </a:graphic>
        </xdr:graphicFrame>
      </mc:Choice>
      <mc:Fallback>
        <xdr:sp macro="" textlink="">
          <xdr:nvSpPr>
            <xdr:cNvPr id="0" name=""/>
            <xdr:cNvSpPr>
              <a:spLocks noTextEdit="1"/>
            </xdr:cNvSpPr>
          </xdr:nvSpPr>
          <xdr:spPr>
            <a:xfrm>
              <a:off x="139700" y="7759700"/>
              <a:ext cx="2108200" cy="5194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32</xdr:row>
      <xdr:rowOff>190500</xdr:rowOff>
    </xdr:from>
    <xdr:to>
      <xdr:col>2</xdr:col>
      <xdr:colOff>406400</xdr:colOff>
      <xdr:row>37</xdr:row>
      <xdr:rowOff>76200</xdr:rowOff>
    </xdr:to>
    <mc:AlternateContent xmlns:mc="http://schemas.openxmlformats.org/markup-compatibility/2006">
      <mc:Choice xmlns:a14="http://schemas.microsoft.com/office/drawing/2010/main" Requires="a14">
        <xdr:graphicFrame macro="">
          <xdr:nvGraphicFramePr>
            <xdr:cNvPr id="14" name="Marital status 2">
              <a:extLst>
                <a:ext uri="{FF2B5EF4-FFF2-40B4-BE49-F238E27FC236}">
                  <a16:creationId xmlns:a16="http://schemas.microsoft.com/office/drawing/2014/main" id="{8FABB112-041B-D64F-9FB2-1057EA8B3750}"/>
                </a:ext>
              </a:extLst>
            </xdr:cNvPr>
            <xdr:cNvGraphicFramePr/>
          </xdr:nvGraphicFramePr>
          <xdr:xfrm>
            <a:off x="0" y="0"/>
            <a:ext cx="0" cy="0"/>
          </xdr:xfrm>
          <a:graphic>
            <a:graphicData uri="http://schemas.microsoft.com/office/drawing/2010/slicer">
              <sle:slicer xmlns:sle="http://schemas.microsoft.com/office/drawing/2010/slicer" name="Marital status 2"/>
            </a:graphicData>
          </a:graphic>
        </xdr:graphicFrame>
      </mc:Choice>
      <mc:Fallback>
        <xdr:sp macro="" textlink="">
          <xdr:nvSpPr>
            <xdr:cNvPr id="0" name=""/>
            <xdr:cNvSpPr>
              <a:spLocks noTextEdit="1"/>
            </xdr:cNvSpPr>
          </xdr:nvSpPr>
          <xdr:spPr>
            <a:xfrm>
              <a:off x="152400" y="6692900"/>
              <a:ext cx="1905000" cy="901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27</xdr:row>
      <xdr:rowOff>76200</xdr:rowOff>
    </xdr:from>
    <xdr:to>
      <xdr:col>2</xdr:col>
      <xdr:colOff>304800</xdr:colOff>
      <xdr:row>31</xdr:row>
      <xdr:rowOff>165100</xdr:rowOff>
    </xdr:to>
    <mc:AlternateContent xmlns:mc="http://schemas.openxmlformats.org/markup-compatibility/2006">
      <mc:Choice xmlns:a14="http://schemas.microsoft.com/office/drawing/2010/main" Requires="a14">
        <xdr:graphicFrame macro="">
          <xdr:nvGraphicFramePr>
            <xdr:cNvPr id="15" name="Choose your gender 1">
              <a:extLst>
                <a:ext uri="{FF2B5EF4-FFF2-40B4-BE49-F238E27FC236}">
                  <a16:creationId xmlns:a16="http://schemas.microsoft.com/office/drawing/2014/main" id="{D601A5AC-A3D5-4844-9B99-F0F849EE911D}"/>
                </a:ext>
              </a:extLst>
            </xdr:cNvPr>
            <xdr:cNvGraphicFramePr/>
          </xdr:nvGraphicFramePr>
          <xdr:xfrm>
            <a:off x="0" y="0"/>
            <a:ext cx="0" cy="0"/>
          </xdr:xfrm>
          <a:graphic>
            <a:graphicData uri="http://schemas.microsoft.com/office/drawing/2010/slicer">
              <sle:slicer xmlns:sle="http://schemas.microsoft.com/office/drawing/2010/slicer" name="Choose your gender 1"/>
            </a:graphicData>
          </a:graphic>
        </xdr:graphicFrame>
      </mc:Choice>
      <mc:Fallback>
        <xdr:sp macro="" textlink="">
          <xdr:nvSpPr>
            <xdr:cNvPr id="0" name=""/>
            <xdr:cNvSpPr>
              <a:spLocks noTextEdit="1"/>
            </xdr:cNvSpPr>
          </xdr:nvSpPr>
          <xdr:spPr>
            <a:xfrm>
              <a:off x="127000" y="5562600"/>
              <a:ext cx="1828800" cy="901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15</xdr:row>
      <xdr:rowOff>12700</xdr:rowOff>
    </xdr:from>
    <xdr:to>
      <xdr:col>2</xdr:col>
      <xdr:colOff>342900</xdr:colOff>
      <xdr:row>26</xdr:row>
      <xdr:rowOff>38100</xdr:rowOff>
    </xdr:to>
    <mc:AlternateContent xmlns:mc="http://schemas.openxmlformats.org/markup-compatibility/2006">
      <mc:Choice xmlns:a14="http://schemas.microsoft.com/office/drawing/2010/main" Requires="a14">
        <xdr:graphicFrame macro="">
          <xdr:nvGraphicFramePr>
            <xdr:cNvPr id="16" name="Age 1">
              <a:extLst>
                <a:ext uri="{FF2B5EF4-FFF2-40B4-BE49-F238E27FC236}">
                  <a16:creationId xmlns:a16="http://schemas.microsoft.com/office/drawing/2014/main" id="{DDD5D5B6-3B15-AB43-A97D-54196CD18887}"/>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114300" y="3060700"/>
              <a:ext cx="1879600" cy="2260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25400</xdr:colOff>
      <xdr:row>8</xdr:row>
      <xdr:rowOff>63500</xdr:rowOff>
    </xdr:from>
    <xdr:to>
      <xdr:col>14</xdr:col>
      <xdr:colOff>596900</xdr:colOff>
      <xdr:row>12</xdr:row>
      <xdr:rowOff>165100</xdr:rowOff>
    </xdr:to>
    <xdr:sp macro="" textlink="">
      <xdr:nvSpPr>
        <xdr:cNvPr id="17" name="TextBox 16">
          <a:extLst>
            <a:ext uri="{FF2B5EF4-FFF2-40B4-BE49-F238E27FC236}">
              <a16:creationId xmlns:a16="http://schemas.microsoft.com/office/drawing/2014/main" id="{BB3A7813-28C1-7014-A5A9-EB91F246AEE7}"/>
            </a:ext>
          </a:extLst>
        </xdr:cNvPr>
        <xdr:cNvSpPr txBox="1"/>
      </xdr:nvSpPr>
      <xdr:spPr>
        <a:xfrm>
          <a:off x="4978400" y="1689100"/>
          <a:ext cx="71755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6000">
              <a:solidFill>
                <a:srgbClr val="002060"/>
              </a:solidFill>
            </a:rPr>
            <a:t>Student mental health</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0.29706</cdr:x>
      <cdr:y>0.05281</cdr:y>
    </cdr:from>
    <cdr:to>
      <cdr:x>0.70882</cdr:x>
      <cdr:y>0.21814</cdr:y>
    </cdr:to>
    <cdr:sp macro="" textlink="">
      <cdr:nvSpPr>
        <cdr:cNvPr id="3" name="TextBox 2">
          <a:extLst xmlns:a="http://schemas.openxmlformats.org/drawingml/2006/main">
            <a:ext uri="{FF2B5EF4-FFF2-40B4-BE49-F238E27FC236}">
              <a16:creationId xmlns:a16="http://schemas.microsoft.com/office/drawing/2014/main" id="{8E192122-2CFE-01D6-A86C-3FFB3C16E066}"/>
            </a:ext>
          </a:extLst>
        </cdr:cNvPr>
        <cdr:cNvSpPr txBox="1"/>
      </cdr:nvSpPr>
      <cdr:spPr>
        <a:xfrm xmlns:a="http://schemas.openxmlformats.org/drawingml/2006/main">
          <a:off x="2565400" y="292100"/>
          <a:ext cx="35560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0.46471</cdr:x>
      <cdr:y>0.10103</cdr:y>
    </cdr:from>
    <cdr:to>
      <cdr:x>0.64118</cdr:x>
      <cdr:y>0.19288</cdr:y>
    </cdr:to>
    <cdr:sp macro="" textlink="">
      <cdr:nvSpPr>
        <cdr:cNvPr id="4" name="TextBox 3">
          <a:extLst xmlns:a="http://schemas.openxmlformats.org/drawingml/2006/main">
            <a:ext uri="{FF2B5EF4-FFF2-40B4-BE49-F238E27FC236}">
              <a16:creationId xmlns:a16="http://schemas.microsoft.com/office/drawing/2014/main" id="{C7931C36-8CFF-E1D4-EE90-D9557442D8F3}"/>
            </a:ext>
          </a:extLst>
        </cdr:cNvPr>
        <cdr:cNvSpPr txBox="1"/>
      </cdr:nvSpPr>
      <cdr:spPr>
        <a:xfrm xmlns:a="http://schemas.openxmlformats.org/drawingml/2006/main">
          <a:off x="4013200" y="558800"/>
          <a:ext cx="1524000" cy="5080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2400"/>
            <a:t>Course</a:t>
          </a:r>
        </a:p>
      </cdr:txBody>
    </cdr:sp>
  </cdr:relSizeAnchor>
</c:userShapes>
</file>

<file path=xl/drawings/drawing10.xml><?xml version="1.0" encoding="utf-8"?>
<c:userShapes xmlns:c="http://schemas.openxmlformats.org/drawingml/2006/chart">
  <cdr:relSizeAnchor xmlns:cdr="http://schemas.openxmlformats.org/drawingml/2006/chartDrawing">
    <cdr:from>
      <cdr:x>0.34935</cdr:x>
      <cdr:y>0.10189</cdr:y>
    </cdr:from>
    <cdr:to>
      <cdr:x>0.61948</cdr:x>
      <cdr:y>0.27547</cdr:y>
    </cdr:to>
    <cdr:sp macro="" textlink="">
      <cdr:nvSpPr>
        <cdr:cNvPr id="2" name="TextBox 1">
          <a:extLst xmlns:a="http://schemas.openxmlformats.org/drawingml/2006/main">
            <a:ext uri="{FF2B5EF4-FFF2-40B4-BE49-F238E27FC236}">
              <a16:creationId xmlns:a16="http://schemas.microsoft.com/office/drawing/2014/main" id="{14F72DCE-3D3D-5B9D-39EC-52DFCD891CD8}"/>
            </a:ext>
          </a:extLst>
        </cdr:cNvPr>
        <cdr:cNvSpPr txBox="1"/>
      </cdr:nvSpPr>
      <cdr:spPr>
        <a:xfrm xmlns:a="http://schemas.openxmlformats.org/drawingml/2006/main">
          <a:off x="3416300" y="342900"/>
          <a:ext cx="2641600" cy="5842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2400"/>
            <a:t>Age</a:t>
          </a:r>
          <a:r>
            <a:rPr lang="en-GB" sz="1100"/>
            <a:t> </a:t>
          </a:r>
          <a:r>
            <a:rPr lang="en-GB" sz="2400"/>
            <a:t>distribution</a:t>
          </a:r>
        </a:p>
        <a:p xmlns:a="http://schemas.openxmlformats.org/drawingml/2006/main">
          <a:endParaRPr lang="en-GB"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toriia Kapkanets" refreshedDate="45969.908338773152" createdVersion="8" refreshedVersion="8" minRefreshableVersion="3" recordCount="101" xr:uid="{23E83907-00E2-9241-844F-7F63D6EF66E7}">
  <cacheSource type="worksheet">
    <worksheetSource name="Student_Mental_health3"/>
  </cacheSource>
  <cacheFields count="11">
    <cacheField name="Timestamp" numFmtId="164">
      <sharedItems/>
    </cacheField>
    <cacheField name="Choose your gender" numFmtId="0">
      <sharedItems/>
    </cacheField>
    <cacheField name="Age" numFmtId="0">
      <sharedItems containsMixedTypes="1" containsNumber="1" containsInteger="1" minValue="18" maxValue="24" count="8">
        <n v="18"/>
        <n v="21"/>
        <n v="19"/>
        <n v="22"/>
        <n v="23"/>
        <n v="20"/>
        <n v="24"/>
        <s v="Unknown"/>
      </sharedItems>
    </cacheField>
    <cacheField name="What is your course?" numFmtId="0">
      <sharedItems count="42">
        <s v="Engineering"/>
        <s v="Islamic education"/>
        <s v="BIT"/>
        <s v="Laws"/>
        <s v="Mathemathics"/>
        <s v="Pendidikan islam"/>
        <s v="BCS"/>
        <s v="Human Resources"/>
        <s v="Irkhs"/>
        <s v="Psychology"/>
        <s v="KENMS"/>
        <s v="Accounting "/>
        <s v="ENM"/>
        <s v="Marine science"/>
        <s v="KOE"/>
        <s v="Banking Studies"/>
        <s v="Business Administration"/>
        <s v="Law"/>
        <s v="KIRKHS"/>
        <s v="Usuluddin "/>
        <s v="TAASL"/>
        <s v="Engine"/>
        <s v="ALA"/>
        <s v="Biomedical science"/>
        <s v="BENL"/>
        <s v="IT"/>
        <s v="CTS"/>
        <s v="engin"/>
        <s v="Econs"/>
        <s v="MHSC"/>
        <s v="Malcom"/>
        <s v="Kop"/>
        <s v="Human Sciences "/>
        <s v="Biotechnology"/>
        <s v="Communication "/>
        <s v="Diploma Nursing"/>
        <s v="Pendidikan Islam "/>
        <s v="Radiography"/>
        <s v="Fiqh fatwa "/>
        <s v="DIPLOMA TESL"/>
        <s v="Fiqh"/>
        <s v="Nursing "/>
      </sharedItems>
    </cacheField>
    <cacheField name="Your current of Study" numFmtId="0">
      <sharedItems containsSemiMixedTypes="0" containsString="0" containsNumber="1" containsInteger="1" minValue="1" maxValue="4" count="4">
        <n v="1"/>
        <n v="2"/>
        <n v="3"/>
        <n v="4"/>
      </sharedItems>
    </cacheField>
    <cacheField name="What is your CGPA?" numFmtId="0">
      <sharedItems count="6">
        <s v="3.00 - 3.49"/>
        <s v="3.50 - 4.00"/>
        <s v="3.50 - 4.00 "/>
        <s v="2.50 - 2.99"/>
        <s v="2.00 - 2.49"/>
        <s v="0 - 1.99"/>
      </sharedItems>
    </cacheField>
    <cacheField name="Marital status" numFmtId="0">
      <sharedItems/>
    </cacheField>
    <cacheField name="Do you have Depression?" numFmtId="0">
      <sharedItems/>
    </cacheField>
    <cacheField name="Do you have Anxiety?" numFmtId="0">
      <sharedItems/>
    </cacheField>
    <cacheField name="Do you have Panic attack?" numFmtId="0">
      <sharedItems/>
    </cacheField>
    <cacheField name="Did you seek any specialist for a treatmen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toriia Kapkanets" refreshedDate="45969.910599768518" createdVersion="8" refreshedVersion="8" minRefreshableVersion="3" recordCount="102" xr:uid="{01A932FF-3100-8043-BC31-A086D6296901}">
  <cacheSource type="worksheet">
    <worksheetSource ref="A1:J1048576" sheet="Mental disorders"/>
  </cacheSource>
  <cacheFields count="11">
    <cacheField name="Timestamp" numFmtId="164">
      <sharedItems containsBlank="1"/>
    </cacheField>
    <cacheField name="Choose your gender" numFmtId="0">
      <sharedItems containsBlank="1" count="3">
        <s v="Female"/>
        <s v="Male"/>
        <m/>
      </sharedItems>
    </cacheField>
    <cacheField name="Age" numFmtId="0">
      <sharedItems containsBlank="1" containsMixedTypes="1" containsNumber="1" containsInteger="1" minValue="18" maxValue="24" count="9">
        <n v="18"/>
        <n v="21"/>
        <n v="19"/>
        <n v="22"/>
        <n v="23"/>
        <n v="20"/>
        <n v="24"/>
        <s v="Unknown"/>
        <m/>
      </sharedItems>
    </cacheField>
    <cacheField name="What is your course?" numFmtId="0">
      <sharedItems containsBlank="1" count="43">
        <s v="Engineering"/>
        <s v="Islamic education"/>
        <s v="BIT"/>
        <s v="Laws"/>
        <s v="Mathemathics"/>
        <s v="Pendidikan islam"/>
        <s v="BCS"/>
        <s v="Human Resources"/>
        <s v="Irkhs"/>
        <s v="Psychology"/>
        <s v="KENMS"/>
        <s v="Accounting "/>
        <s v="ENM"/>
        <s v="Marine science"/>
        <s v="KOE"/>
        <s v="Banking Studies"/>
        <s v="Business Administration"/>
        <s v="Law"/>
        <s v="KIRKHS"/>
        <s v="Usuluddin "/>
        <s v="TAASL"/>
        <s v="Engine"/>
        <s v="ALA"/>
        <s v="Biomedical science"/>
        <s v="BENL"/>
        <s v="IT"/>
        <s v="CTS"/>
        <s v="engin"/>
        <s v="Econs"/>
        <s v="MHSC"/>
        <s v="Malcom"/>
        <s v="Kop"/>
        <s v="Human Sciences "/>
        <s v="Biotechnology"/>
        <s v="Communication "/>
        <s v="Diploma Nursing"/>
        <s v="Pendidikan Islam "/>
        <s v="Radiography"/>
        <s v="Fiqh fatwa "/>
        <s v="DIPLOMA TESL"/>
        <s v="Fiqh"/>
        <s v="Nursing "/>
        <m/>
      </sharedItems>
    </cacheField>
    <cacheField name="Your current of Study" numFmtId="0">
      <sharedItems containsString="0" containsBlank="1" containsNumber="1" containsInteger="1" minValue="1" maxValue="4"/>
    </cacheField>
    <cacheField name="What is your CGPA?" numFmtId="0">
      <sharedItems containsBlank="1" count="7">
        <s v="3.00 - 3.49"/>
        <s v="3.50 - 4.00"/>
        <s v="3.50 - 4.00 "/>
        <s v="2.50 - 2.99"/>
        <s v="2.00 - 2.49"/>
        <s v="0 - 1.99"/>
        <m/>
      </sharedItems>
    </cacheField>
    <cacheField name="Marital status" numFmtId="0">
      <sharedItems containsBlank="1" count="3">
        <s v="No"/>
        <s v="Yes"/>
        <m/>
      </sharedItems>
    </cacheField>
    <cacheField name="Do you have Depression?" numFmtId="0">
      <sharedItems containsBlank="1" count="3">
        <s v="Yes"/>
        <s v="No"/>
        <m/>
      </sharedItems>
    </cacheField>
    <cacheField name="Do you have Anxiety?" numFmtId="0">
      <sharedItems containsBlank="1" count="3">
        <s v="No"/>
        <s v="Yes"/>
        <m/>
      </sharedItems>
    </cacheField>
    <cacheField name="Do you have Panic attack?" numFmtId="0">
      <sharedItems containsBlank="1" count="3">
        <s v="Yes"/>
        <s v="No"/>
        <m/>
      </sharedItems>
    </cacheField>
    <cacheField name="Did you seek any specialist for a treatment?" numFmtId="0">
      <sharedItems containsBlank="1"/>
    </cacheField>
  </cacheFields>
  <extLst>
    <ext xmlns:x14="http://schemas.microsoft.com/office/spreadsheetml/2009/9/main" uri="{725AE2AE-9491-48be-B2B4-4EB974FC3084}">
      <x14:pivotCacheDefinition pivotCacheId="65374932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toriia Kapkanets" refreshedDate="45979.758768518521" createdVersion="8" refreshedVersion="8" minRefreshableVersion="3" recordCount="101" xr:uid="{E6C5B4B7-E174-9144-81F2-EEB9CB57237B}">
  <cacheSource type="worksheet">
    <worksheetSource name="Student_Mental_health"/>
  </cacheSource>
  <cacheFields count="11">
    <cacheField name="Timestamp" numFmtId="164">
      <sharedItems/>
    </cacheField>
    <cacheField name="Choose your gender" numFmtId="0">
      <sharedItems/>
    </cacheField>
    <cacheField name="Age" numFmtId="0">
      <sharedItems containsString="0" containsBlank="1" containsNumber="1" containsInteger="1" minValue="18" maxValue="24"/>
    </cacheField>
    <cacheField name="What is your course?" numFmtId="0">
      <sharedItems/>
    </cacheField>
    <cacheField name="Your current year of Study" numFmtId="0">
      <sharedItems/>
    </cacheField>
    <cacheField name="What is your CGPA?" numFmtId="0">
      <sharedItems/>
    </cacheField>
    <cacheField name="Marital status" numFmtId="0">
      <sharedItems/>
    </cacheField>
    <cacheField name="Do you have Depression?" numFmtId="0">
      <sharedItems count="2">
        <s v="Yes"/>
        <s v="No"/>
      </sharedItems>
    </cacheField>
    <cacheField name="Do you have Anxiety?" numFmtId="0">
      <sharedItems/>
    </cacheField>
    <cacheField name="Do you have Panic attack?" numFmtId="0">
      <sharedItems/>
    </cacheField>
    <cacheField name="Did you seek any specialist for a treatmen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8/7/2020 12:02"/>
    <s v="Female"/>
    <x v="0"/>
    <x v="0"/>
    <x v="0"/>
    <x v="0"/>
    <s v="No"/>
    <s v="Yes"/>
    <s v="No"/>
    <s v="Yes"/>
    <s v="No"/>
  </r>
  <r>
    <s v="8/7/2020 12:04"/>
    <s v="Male"/>
    <x v="1"/>
    <x v="1"/>
    <x v="1"/>
    <x v="0"/>
    <s v="No"/>
    <s v="No"/>
    <s v="Yes"/>
    <s v="No"/>
    <s v="No"/>
  </r>
  <r>
    <s v="8/7/2020 12:05"/>
    <s v="Male"/>
    <x v="2"/>
    <x v="2"/>
    <x v="0"/>
    <x v="0"/>
    <s v="No"/>
    <s v="Yes"/>
    <s v="Yes"/>
    <s v="Yes"/>
    <s v="No"/>
  </r>
  <r>
    <s v="8/7/2020 12:06"/>
    <s v="Female"/>
    <x v="3"/>
    <x v="3"/>
    <x v="2"/>
    <x v="0"/>
    <s v="Yes"/>
    <s v="Yes"/>
    <s v="No"/>
    <s v="No"/>
    <s v="No"/>
  </r>
  <r>
    <s v="8/7/2020 12:13"/>
    <s v="Male"/>
    <x v="4"/>
    <x v="4"/>
    <x v="3"/>
    <x v="0"/>
    <s v="No"/>
    <s v="No"/>
    <s v="No"/>
    <s v="No"/>
    <s v="No"/>
  </r>
  <r>
    <s v="8/7/2020 12:31"/>
    <s v="Male"/>
    <x v="2"/>
    <x v="0"/>
    <x v="1"/>
    <x v="1"/>
    <s v="No"/>
    <s v="No"/>
    <s v="No"/>
    <s v="Yes"/>
    <s v="No"/>
  </r>
  <r>
    <s v="8/7/2020 12:32"/>
    <s v="Female"/>
    <x v="4"/>
    <x v="5"/>
    <x v="1"/>
    <x v="2"/>
    <s v="Yes"/>
    <s v="Yes"/>
    <s v="No"/>
    <s v="Yes"/>
    <s v="No"/>
  </r>
  <r>
    <s v="8/7/2020 12:33"/>
    <s v="Female"/>
    <x v="0"/>
    <x v="6"/>
    <x v="0"/>
    <x v="1"/>
    <s v="No"/>
    <s v="No"/>
    <s v="Yes"/>
    <s v="No"/>
    <s v="No"/>
  </r>
  <r>
    <s v="8/7/2020 12:35"/>
    <s v="Female"/>
    <x v="2"/>
    <x v="7"/>
    <x v="1"/>
    <x v="3"/>
    <s v="No"/>
    <s v="No"/>
    <s v="No"/>
    <s v="No"/>
    <s v="No"/>
  </r>
  <r>
    <s v="8/7/2020 12:39"/>
    <s v="Male"/>
    <x v="0"/>
    <x v="8"/>
    <x v="0"/>
    <x v="1"/>
    <s v="No"/>
    <s v="No"/>
    <s v="Yes"/>
    <s v="Yes"/>
    <s v="No"/>
  </r>
  <r>
    <s v="8/7/2020 12:39"/>
    <s v="Female"/>
    <x v="5"/>
    <x v="9"/>
    <x v="0"/>
    <x v="1"/>
    <s v="No"/>
    <s v="No"/>
    <s v="No"/>
    <s v="No"/>
    <s v="No"/>
  </r>
  <r>
    <s v="8/7/2020 12:39"/>
    <s v="Female"/>
    <x v="6"/>
    <x v="0"/>
    <x v="2"/>
    <x v="1"/>
    <s v="Yes"/>
    <s v="Yes"/>
    <s v="No"/>
    <s v="No"/>
    <s v="No"/>
  </r>
  <r>
    <s v="8/7/2020 12:40"/>
    <s v="Female"/>
    <x v="0"/>
    <x v="6"/>
    <x v="0"/>
    <x v="0"/>
    <s v="No"/>
    <s v="Yes"/>
    <s v="No"/>
    <s v="No"/>
    <s v="No"/>
  </r>
  <r>
    <s v="8/7/2020 12:41"/>
    <s v="Male"/>
    <x v="2"/>
    <x v="0"/>
    <x v="0"/>
    <x v="0"/>
    <s v="No"/>
    <s v="No"/>
    <s v="No"/>
    <s v="No"/>
    <s v="No"/>
  </r>
  <r>
    <s v="8/7/2020 12:43"/>
    <s v="Female"/>
    <x v="0"/>
    <x v="10"/>
    <x v="1"/>
    <x v="1"/>
    <s v="No"/>
    <s v="No"/>
    <s v="Yes"/>
    <s v="No"/>
    <s v="No"/>
  </r>
  <r>
    <s v="8/7/2020 12:43"/>
    <s v="Male"/>
    <x v="6"/>
    <x v="6"/>
    <x v="2"/>
    <x v="1"/>
    <s v="No"/>
    <s v="No"/>
    <s v="No"/>
    <s v="No"/>
    <s v="No"/>
  </r>
  <r>
    <s v="8/7/2020 12:46"/>
    <s v="Female"/>
    <x v="6"/>
    <x v="11"/>
    <x v="2"/>
    <x v="0"/>
    <s v="No"/>
    <s v="No"/>
    <s v="No"/>
    <s v="No"/>
    <s v="No"/>
  </r>
  <r>
    <s v="8/7/2020 12:52"/>
    <s v="Female"/>
    <x v="6"/>
    <x v="12"/>
    <x v="3"/>
    <x v="0"/>
    <s v="Yes"/>
    <s v="Yes"/>
    <s v="Yes"/>
    <s v="Yes"/>
    <s v="No"/>
  </r>
  <r>
    <s v="8/7/2020 13:05"/>
    <s v="Female"/>
    <x v="5"/>
    <x v="2"/>
    <x v="1"/>
    <x v="1"/>
    <s v="No"/>
    <s v="No"/>
    <s v="Yes"/>
    <s v="No"/>
    <s v="No"/>
  </r>
  <r>
    <s v="8/7/2020 13:07"/>
    <s v="Female"/>
    <x v="0"/>
    <x v="13"/>
    <x v="1"/>
    <x v="1"/>
    <s v="Yes"/>
    <s v="Yes"/>
    <s v="Yes"/>
    <s v="Yes"/>
    <s v="No"/>
  </r>
  <r>
    <s v="8/7/2020 13:12"/>
    <s v="Female"/>
    <x v="2"/>
    <x v="0"/>
    <x v="0"/>
    <x v="0"/>
    <s v="No"/>
    <s v="No"/>
    <s v="No"/>
    <s v="Yes"/>
    <s v="No"/>
  </r>
  <r>
    <s v="8/7/2020 13:13"/>
    <s v="Female"/>
    <x v="0"/>
    <x v="14"/>
    <x v="1"/>
    <x v="0"/>
    <s v="No"/>
    <s v="No"/>
    <s v="No"/>
    <s v="No"/>
    <s v="No"/>
  </r>
  <r>
    <s v="8/7/2020 13:13"/>
    <s v="Female"/>
    <x v="6"/>
    <x v="6"/>
    <x v="0"/>
    <x v="1"/>
    <s v="No"/>
    <s v="No"/>
    <s v="No"/>
    <s v="No"/>
    <s v="No"/>
  </r>
  <r>
    <s v="8/7/2020 13:15"/>
    <s v="Female"/>
    <x v="6"/>
    <x v="0"/>
    <x v="0"/>
    <x v="0"/>
    <s v="No"/>
    <s v="No"/>
    <s v="No"/>
    <s v="No"/>
    <s v="No"/>
  </r>
  <r>
    <s v="8/7/2020 13:17"/>
    <s v="Female"/>
    <x v="4"/>
    <x v="6"/>
    <x v="2"/>
    <x v="1"/>
    <s v="No"/>
    <s v="Yes"/>
    <s v="Yes"/>
    <s v="Yes"/>
    <s v="No"/>
  </r>
  <r>
    <s v="8/7/2020 13:29"/>
    <s v="Female"/>
    <x v="0"/>
    <x v="15"/>
    <x v="0"/>
    <x v="1"/>
    <s v="No"/>
    <s v="No"/>
    <s v="No"/>
    <s v="No"/>
    <s v="No"/>
  </r>
  <r>
    <s v="8/7/2020 13:35"/>
    <s v="Female"/>
    <x v="2"/>
    <x v="0"/>
    <x v="0"/>
    <x v="1"/>
    <s v="No"/>
    <s v="No"/>
    <s v="No"/>
    <s v="No"/>
    <s v="No"/>
  </r>
  <r>
    <s v="8/7/2020 13:41"/>
    <s v="Male"/>
    <x v="0"/>
    <x v="0"/>
    <x v="1"/>
    <x v="0"/>
    <s v="Yes"/>
    <s v="Yes"/>
    <s v="Yes"/>
    <s v="No"/>
    <s v="No"/>
  </r>
  <r>
    <s v="8/7/2020 13:58"/>
    <s v="Female"/>
    <x v="6"/>
    <x v="2"/>
    <x v="2"/>
    <x v="1"/>
    <s v="Yes"/>
    <s v="Yes"/>
    <s v="Yes"/>
    <s v="Yes"/>
    <s v="Yes"/>
  </r>
  <r>
    <s v="8/7/2020 14:05"/>
    <s v="Female"/>
    <x v="6"/>
    <x v="6"/>
    <x v="3"/>
    <x v="1"/>
    <s v="No"/>
    <s v="No"/>
    <s v="No"/>
    <s v="No"/>
    <s v="No"/>
  </r>
  <r>
    <s v="8/7/2020 14:27"/>
    <s v="Female"/>
    <x v="4"/>
    <x v="16"/>
    <x v="1"/>
    <x v="0"/>
    <s v="No"/>
    <s v="No"/>
    <s v="No"/>
    <s v="No"/>
    <s v="No"/>
  </r>
  <r>
    <s v="8/7/2020 14:29"/>
    <s v="Male"/>
    <x v="0"/>
    <x v="6"/>
    <x v="1"/>
    <x v="0"/>
    <s v="No"/>
    <s v="No"/>
    <s v="No"/>
    <s v="No"/>
    <s v="No"/>
  </r>
  <r>
    <s v="8/7/2020 14:29"/>
    <s v="Male"/>
    <x v="2"/>
    <x v="6"/>
    <x v="0"/>
    <x v="1"/>
    <s v="No"/>
    <s v="No"/>
    <s v="No"/>
    <s v="Yes"/>
    <s v="No"/>
  </r>
  <r>
    <s v="8/7/2020 14:31"/>
    <s v="Male"/>
    <x v="0"/>
    <x v="6"/>
    <x v="1"/>
    <x v="1"/>
    <s v="Yes"/>
    <s v="Yes"/>
    <s v="Yes"/>
    <s v="No"/>
    <s v="Yes"/>
  </r>
  <r>
    <s v="8/7/2020 14:41"/>
    <s v="Female"/>
    <x v="2"/>
    <x v="2"/>
    <x v="0"/>
    <x v="0"/>
    <s v="No"/>
    <s v="Yes"/>
    <s v="Yes"/>
    <s v="Yes"/>
    <s v="No"/>
  </r>
  <r>
    <s v="8/7/2020 14:43"/>
    <s v="Female"/>
    <x v="0"/>
    <x v="0"/>
    <x v="0"/>
    <x v="4"/>
    <s v="No"/>
    <s v="No"/>
    <s v="No"/>
    <s v="No"/>
    <s v="No"/>
  </r>
  <r>
    <s v="8/7/2020 14:43"/>
    <s v="Female"/>
    <x v="0"/>
    <x v="17"/>
    <x v="2"/>
    <x v="0"/>
    <s v="No"/>
    <s v="Yes"/>
    <s v="Yes"/>
    <s v="No"/>
    <s v="No"/>
  </r>
  <r>
    <s v="8/7/2020 14:45"/>
    <s v="Female"/>
    <x v="2"/>
    <x v="2"/>
    <x v="0"/>
    <x v="3"/>
    <s v="No"/>
    <s v="Yes"/>
    <s v="Yes"/>
    <s v="Yes"/>
    <s v="No"/>
  </r>
  <r>
    <s v="8/7/2020 14:47"/>
    <s v="Female"/>
    <x v="0"/>
    <x v="18"/>
    <x v="0"/>
    <x v="1"/>
    <s v="No"/>
    <s v="No"/>
    <s v="No"/>
    <s v="No"/>
    <s v="No"/>
  </r>
  <r>
    <s v="8/7/2020 14:56"/>
    <s v="Female"/>
    <x v="6"/>
    <x v="0"/>
    <x v="1"/>
    <x v="3"/>
    <s v="Yes"/>
    <s v="Yes"/>
    <s v="No"/>
    <s v="Yes"/>
    <s v="Yes"/>
  </r>
  <r>
    <s v="8/7/2020 14:57"/>
    <s v="Female"/>
    <x v="6"/>
    <x v="2"/>
    <x v="2"/>
    <x v="0"/>
    <s v="No"/>
    <s v="No"/>
    <s v="Yes"/>
    <s v="No"/>
    <s v="No"/>
  </r>
  <r>
    <s v="8/7/2020 14:57"/>
    <s v="Female"/>
    <x v="3"/>
    <x v="0"/>
    <x v="3"/>
    <x v="1"/>
    <s v="No"/>
    <s v="No"/>
    <s v="No"/>
    <s v="No"/>
    <s v="No"/>
  </r>
  <r>
    <s v="8/7/2020 14:58"/>
    <s v="Female"/>
    <x v="5"/>
    <x v="19"/>
    <x v="1"/>
    <x v="0"/>
    <s v="No"/>
    <s v="Yes"/>
    <s v="No"/>
    <s v="No"/>
    <s v="No"/>
  </r>
  <r>
    <s v="8/7/2020 15:07"/>
    <s v="Male"/>
    <x v="7"/>
    <x v="2"/>
    <x v="0"/>
    <x v="5"/>
    <s v="No"/>
    <s v="No"/>
    <s v="No"/>
    <s v="No"/>
    <s v="No"/>
  </r>
  <r>
    <s v="8/7/2020 15:08"/>
    <s v="Male"/>
    <x v="4"/>
    <x v="20"/>
    <x v="1"/>
    <x v="1"/>
    <s v="No"/>
    <s v="No"/>
    <s v="No"/>
    <s v="Yes"/>
    <s v="No"/>
  </r>
  <r>
    <s v="8/7/2020 15:09"/>
    <s v="Male"/>
    <x v="0"/>
    <x v="6"/>
    <x v="0"/>
    <x v="1"/>
    <s v="No"/>
    <s v="No"/>
    <s v="Yes"/>
    <s v="Yes"/>
    <s v="No"/>
  </r>
  <r>
    <s v="8/7/2020 15:12"/>
    <s v="Female"/>
    <x v="2"/>
    <x v="0"/>
    <x v="0"/>
    <x v="1"/>
    <s v="No"/>
    <s v="No"/>
    <s v="Yes"/>
    <s v="No"/>
    <s v="No"/>
  </r>
  <r>
    <s v="8/7/2020 15:14"/>
    <s v="Female"/>
    <x v="0"/>
    <x v="21"/>
    <x v="3"/>
    <x v="1"/>
    <s v="No"/>
    <s v="No"/>
    <s v="No"/>
    <s v="No"/>
    <s v="No"/>
  </r>
  <r>
    <s v="8/7/2020 15:14"/>
    <s v="Male"/>
    <x v="6"/>
    <x v="6"/>
    <x v="1"/>
    <x v="0"/>
    <s v="No"/>
    <s v="Yes"/>
    <s v="No"/>
    <s v="No"/>
    <s v="No"/>
  </r>
  <r>
    <s v="8/7/2020 15:18"/>
    <s v="Female"/>
    <x v="6"/>
    <x v="6"/>
    <x v="2"/>
    <x v="1"/>
    <s v="No"/>
    <s v="No"/>
    <s v="No"/>
    <s v="Yes"/>
    <s v="No"/>
  </r>
  <r>
    <s v="8/7/2020 15:27"/>
    <s v="Female"/>
    <x v="4"/>
    <x v="22"/>
    <x v="0"/>
    <x v="3"/>
    <s v="Yes"/>
    <s v="Yes"/>
    <s v="No"/>
    <s v="Yes"/>
    <s v="Yes"/>
  </r>
  <r>
    <s v="8/7/2020 15:37"/>
    <s v="Female"/>
    <x v="0"/>
    <x v="6"/>
    <x v="1"/>
    <x v="1"/>
    <s v="No"/>
    <s v="No"/>
    <s v="Yes"/>
    <s v="No"/>
    <s v="No"/>
  </r>
  <r>
    <s v="8/7/2020 15:47"/>
    <s v="Female"/>
    <x v="2"/>
    <x v="23"/>
    <x v="2"/>
    <x v="0"/>
    <s v="No"/>
    <s v="No"/>
    <s v="No"/>
    <s v="No"/>
    <s v="No"/>
  </r>
  <r>
    <s v="8/7/2020 15:48"/>
    <s v="Female"/>
    <x v="5"/>
    <x v="14"/>
    <x v="2"/>
    <x v="0"/>
    <s v="Yes"/>
    <s v="Yes"/>
    <s v="Yes"/>
    <s v="Yes"/>
    <s v="No"/>
  </r>
  <r>
    <s v="8/7/2020 15:57"/>
    <s v="Female"/>
    <x v="2"/>
    <x v="6"/>
    <x v="0"/>
    <x v="1"/>
    <s v="No"/>
    <s v="Yes"/>
    <s v="No"/>
    <s v="Yes"/>
    <s v="Yes"/>
  </r>
  <r>
    <s v="8/7/2020 15:58"/>
    <s v="Male"/>
    <x v="1"/>
    <x v="6"/>
    <x v="0"/>
    <x v="0"/>
    <s v="No"/>
    <s v="No"/>
    <s v="No"/>
    <s v="No"/>
    <s v="No"/>
  </r>
  <r>
    <s v="8/7/2020 16:08"/>
    <s v="Male"/>
    <x v="4"/>
    <x v="18"/>
    <x v="2"/>
    <x v="1"/>
    <s v="No"/>
    <s v="No"/>
    <s v="No"/>
    <s v="No"/>
    <s v="No"/>
  </r>
  <r>
    <s v="8/7/2020 16:21"/>
    <s v="Female"/>
    <x v="5"/>
    <x v="24"/>
    <x v="2"/>
    <x v="0"/>
    <s v="No"/>
    <s v="Yes"/>
    <s v="Yes"/>
    <s v="No"/>
    <s v="No"/>
  </r>
  <r>
    <s v="8/7/2020 16:22"/>
    <s v="Female"/>
    <x v="0"/>
    <x v="6"/>
    <x v="0"/>
    <x v="1"/>
    <s v="No"/>
    <s v="No"/>
    <s v="No"/>
    <s v="No"/>
    <s v="No"/>
  </r>
  <r>
    <s v="8/7/2020 16:34"/>
    <s v="Female"/>
    <x v="4"/>
    <x v="24"/>
    <x v="0"/>
    <x v="0"/>
    <s v="No"/>
    <s v="No"/>
    <s v="No"/>
    <s v="No"/>
    <s v="No"/>
  </r>
  <r>
    <s v="8/7/2020 16:34"/>
    <s v="Female"/>
    <x v="0"/>
    <x v="25"/>
    <x v="2"/>
    <x v="0"/>
    <s v="No"/>
    <s v="No"/>
    <s v="No"/>
    <s v="Yes"/>
    <s v="No"/>
  </r>
  <r>
    <s v="8/7/2020 16:53"/>
    <s v="Female"/>
    <x v="2"/>
    <x v="6"/>
    <x v="0"/>
    <x v="1"/>
    <s v="No"/>
    <s v="No"/>
    <s v="No"/>
    <s v="No"/>
    <s v="No"/>
  </r>
  <r>
    <s v="8/7/2020 17:05"/>
    <s v="Female"/>
    <x v="0"/>
    <x v="26"/>
    <x v="0"/>
    <x v="1"/>
    <s v="No"/>
    <s v="No"/>
    <s v="No"/>
    <s v="Yes"/>
    <s v="No"/>
  </r>
  <r>
    <s v="8/7/2020 17:37"/>
    <s v="Female"/>
    <x v="6"/>
    <x v="27"/>
    <x v="0"/>
    <x v="1"/>
    <s v="No"/>
    <s v="No"/>
    <s v="No"/>
    <s v="Yes"/>
    <s v="No"/>
  </r>
  <r>
    <s v="8/7/2020 17:46"/>
    <s v="Female"/>
    <x v="6"/>
    <x v="21"/>
    <x v="0"/>
    <x v="1"/>
    <s v="No"/>
    <s v="No"/>
    <s v="No"/>
    <s v="No"/>
    <s v="No"/>
  </r>
  <r>
    <s v="8/7/2020 17:50"/>
    <s v="Female"/>
    <x v="4"/>
    <x v="28"/>
    <x v="0"/>
    <x v="1"/>
    <s v="No"/>
    <s v="Yes"/>
    <s v="Yes"/>
    <s v="No"/>
    <s v="No"/>
  </r>
  <r>
    <s v="8/7/2020 18:10"/>
    <s v="Female"/>
    <x v="0"/>
    <x v="14"/>
    <x v="2"/>
    <x v="0"/>
    <s v="No"/>
    <s v="No"/>
    <s v="Yes"/>
    <s v="No"/>
    <s v="No"/>
  </r>
  <r>
    <s v="8/7/2020 18:11"/>
    <s v="Male"/>
    <x v="2"/>
    <x v="29"/>
    <x v="2"/>
    <x v="0"/>
    <s v="Yes"/>
    <s v="Yes"/>
    <s v="No"/>
    <s v="Yes"/>
    <s v="No"/>
  </r>
  <r>
    <s v="8/7/2020 19:05"/>
    <s v="Female"/>
    <x v="0"/>
    <x v="30"/>
    <x v="0"/>
    <x v="1"/>
    <s v="No"/>
    <s v="Yes"/>
    <s v="No"/>
    <s v="No"/>
    <s v="No"/>
  </r>
  <r>
    <s v="8/7/2020 19:32"/>
    <s v="Female"/>
    <x v="6"/>
    <x v="31"/>
    <x v="3"/>
    <x v="0"/>
    <s v="No"/>
    <s v="No"/>
    <s v="Yes"/>
    <s v="No"/>
    <s v="No"/>
  </r>
  <r>
    <s v="8/7/2020 20:36"/>
    <s v="Female"/>
    <x v="6"/>
    <x v="23"/>
    <x v="0"/>
    <x v="0"/>
    <s v="No"/>
    <s v="No"/>
    <s v="No"/>
    <s v="No"/>
    <s v="No"/>
  </r>
  <r>
    <s v="8/7/2020 21:21"/>
    <s v="Female"/>
    <x v="0"/>
    <x v="3"/>
    <x v="2"/>
    <x v="1"/>
    <s v="No"/>
    <s v="No"/>
    <s v="No"/>
    <s v="Yes"/>
    <s v="No"/>
  </r>
  <r>
    <s v="8/7/2020 22:35"/>
    <s v="Female"/>
    <x v="2"/>
    <x v="2"/>
    <x v="2"/>
    <x v="0"/>
    <s v="Yes"/>
    <s v="Yes"/>
    <s v="No"/>
    <s v="No"/>
    <s v="No"/>
  </r>
  <r>
    <s v="9/7/2020 6:57"/>
    <s v="Male"/>
    <x v="0"/>
    <x v="23"/>
    <x v="0"/>
    <x v="5"/>
    <s v="No"/>
    <s v="No"/>
    <s v="No"/>
    <s v="No"/>
    <s v="No"/>
  </r>
  <r>
    <s v="9/7/2020 11:43"/>
    <s v="Male"/>
    <x v="6"/>
    <x v="2"/>
    <x v="2"/>
    <x v="1"/>
    <s v="No"/>
    <s v="No"/>
    <s v="Yes"/>
    <s v="No"/>
    <s v="No"/>
  </r>
  <r>
    <s v="9/7/2020 11:57"/>
    <s v="Female"/>
    <x v="6"/>
    <x v="14"/>
    <x v="0"/>
    <x v="1"/>
    <s v="No"/>
    <s v="No"/>
    <s v="Yes"/>
    <s v="Yes"/>
    <s v="No"/>
  </r>
  <r>
    <s v="9/7/2020 13:15"/>
    <s v="Female"/>
    <x v="4"/>
    <x v="0"/>
    <x v="0"/>
    <x v="0"/>
    <s v="No"/>
    <s v="Yes"/>
    <s v="No"/>
    <s v="No"/>
    <s v="No"/>
  </r>
  <r>
    <s v="9/7/2020 18:24"/>
    <s v="Female"/>
    <x v="0"/>
    <x v="32"/>
    <x v="1"/>
    <x v="0"/>
    <s v="No"/>
    <s v="No"/>
    <s v="No"/>
    <s v="Yes"/>
    <s v="No"/>
  </r>
  <r>
    <s v="13/07/2020 10:07:32"/>
    <s v="Female"/>
    <x v="2"/>
    <x v="33"/>
    <x v="2"/>
    <x v="5"/>
    <s v="No"/>
    <s v="No"/>
    <s v="No"/>
    <s v="No"/>
    <s v="No"/>
  </r>
  <r>
    <s v="13/07/2020 10:10:30"/>
    <s v="Female"/>
    <x v="0"/>
    <x v="0"/>
    <x v="3"/>
    <x v="1"/>
    <s v="No"/>
    <s v="No"/>
    <s v="No"/>
    <s v="No"/>
    <s v="No"/>
  </r>
  <r>
    <s v="13/07/2020 10:11:26"/>
    <s v="Female"/>
    <x v="6"/>
    <x v="34"/>
    <x v="1"/>
    <x v="1"/>
    <s v="Yes"/>
    <s v="Yes"/>
    <s v="Yes"/>
    <s v="Yes"/>
    <s v="No"/>
  </r>
  <r>
    <s v="13/07/2020 10:12:18"/>
    <s v="Female"/>
    <x v="6"/>
    <x v="35"/>
    <x v="1"/>
    <x v="1"/>
    <s v="No"/>
    <s v="No"/>
    <s v="No"/>
    <s v="No"/>
    <s v="No"/>
  </r>
  <r>
    <s v="13/07/2020 10:12:26"/>
    <s v="Female"/>
    <x v="2"/>
    <x v="0"/>
    <x v="0"/>
    <x v="0"/>
    <s v="No"/>
    <s v="Yes"/>
    <s v="Yes"/>
    <s v="No"/>
    <s v="No"/>
  </r>
  <r>
    <s v="13/07/2020 10:12:28"/>
    <s v="Female"/>
    <x v="2"/>
    <x v="36"/>
    <x v="1"/>
    <x v="0"/>
    <s v="No"/>
    <s v="No"/>
    <s v="No"/>
    <s v="No"/>
    <s v="No"/>
  </r>
  <r>
    <s v="13/07/2020 10:14:46"/>
    <s v="Male"/>
    <x v="4"/>
    <x v="37"/>
    <x v="0"/>
    <x v="0"/>
    <s v="No"/>
    <s v="No"/>
    <s v="No"/>
    <s v="No"/>
    <s v="No"/>
  </r>
  <r>
    <s v="13/07/2020 10:33:47"/>
    <s v="Female"/>
    <x v="0"/>
    <x v="9"/>
    <x v="0"/>
    <x v="1"/>
    <s v="No"/>
    <s v="Yes"/>
    <s v="Yes"/>
    <s v="No"/>
    <s v="Yes"/>
  </r>
  <r>
    <s v="13/07/2020 10:34:08"/>
    <s v="Female"/>
    <x v="2"/>
    <x v="38"/>
    <x v="2"/>
    <x v="0"/>
    <s v="No"/>
    <s v="No"/>
    <s v="No"/>
    <s v="No"/>
    <s v="No"/>
  </r>
  <r>
    <s v="13/07/2020 11:46:13"/>
    <s v="Female"/>
    <x v="0"/>
    <x v="9"/>
    <x v="0"/>
    <x v="1"/>
    <s v="No"/>
    <s v="Yes"/>
    <s v="Yes"/>
    <s v="Yes"/>
    <s v="No"/>
  </r>
  <r>
    <s v="13/07/2020 11:49:02"/>
    <s v="Male"/>
    <x v="6"/>
    <x v="2"/>
    <x v="0"/>
    <x v="0"/>
    <s v="No"/>
    <s v="No"/>
    <s v="Yes"/>
    <s v="No"/>
    <s v="No"/>
  </r>
  <r>
    <s v="13/07/2020 11:54:58"/>
    <s v="Male"/>
    <x v="6"/>
    <x v="0"/>
    <x v="1"/>
    <x v="4"/>
    <s v="No"/>
    <s v="No"/>
    <s v="No"/>
    <s v="Yes"/>
    <s v="No"/>
  </r>
  <r>
    <s v="13/07/2020 13:57:11"/>
    <s v="Female"/>
    <x v="4"/>
    <x v="39"/>
    <x v="2"/>
    <x v="1"/>
    <s v="No"/>
    <s v="No"/>
    <s v="No"/>
    <s v="Yes"/>
    <s v="No"/>
  </r>
  <r>
    <s v="13/07/2020 14:38:12"/>
    <s v="Male"/>
    <x v="0"/>
    <x v="14"/>
    <x v="1"/>
    <x v="0"/>
    <s v="No"/>
    <s v="No"/>
    <s v="Yes"/>
    <s v="No"/>
    <s v="No"/>
  </r>
  <r>
    <s v="13/07/2020 14:48:05"/>
    <s v="Female"/>
    <x v="2"/>
    <x v="14"/>
    <x v="1"/>
    <x v="0"/>
    <s v="Yes"/>
    <s v="Yes"/>
    <s v="No"/>
    <s v="No"/>
    <s v="No"/>
  </r>
  <r>
    <s v="13/07/2020 16:15:13"/>
    <s v="Female"/>
    <x v="0"/>
    <x v="24"/>
    <x v="0"/>
    <x v="0"/>
    <s v="No"/>
    <s v="Yes"/>
    <s v="No"/>
    <s v="No"/>
    <s v="No"/>
  </r>
  <r>
    <s v="13/07/2020 17:30:44"/>
    <s v="Female"/>
    <x v="6"/>
    <x v="40"/>
    <x v="2"/>
    <x v="5"/>
    <s v="No"/>
    <s v="No"/>
    <s v="No"/>
    <s v="Yes"/>
    <s v="No"/>
  </r>
  <r>
    <s v="13/07/2020 19:08:32"/>
    <s v="Female"/>
    <x v="0"/>
    <x v="1"/>
    <x v="0"/>
    <x v="1"/>
    <s v="No"/>
    <s v="No"/>
    <s v="No"/>
    <s v="No"/>
    <s v="No"/>
  </r>
  <r>
    <s v="13/07/2020 19:56:49"/>
    <s v="Female"/>
    <x v="1"/>
    <x v="6"/>
    <x v="0"/>
    <x v="1"/>
    <s v="No"/>
    <s v="No"/>
    <s v="Yes"/>
    <s v="No"/>
    <s v="No"/>
  </r>
  <r>
    <s v="13/07/2020 21:21:42"/>
    <s v="Male"/>
    <x v="0"/>
    <x v="0"/>
    <x v="1"/>
    <x v="0"/>
    <s v="No"/>
    <s v="Yes"/>
    <s v="Yes"/>
    <s v="No"/>
    <s v="No"/>
  </r>
  <r>
    <s v="13/07/2020 21:22:56"/>
    <s v="Female"/>
    <x v="2"/>
    <x v="41"/>
    <x v="2"/>
    <x v="1"/>
    <s v="Yes"/>
    <s v="Yes"/>
    <s v="No"/>
    <s v="Yes"/>
    <s v="No"/>
  </r>
  <r>
    <s v="13/07/2020 21:23:57"/>
    <s v="Female"/>
    <x v="4"/>
    <x v="5"/>
    <x v="3"/>
    <x v="1"/>
    <s v="No"/>
    <s v="No"/>
    <s v="No"/>
    <s v="No"/>
    <s v="No"/>
  </r>
  <r>
    <s v="18/07/2020 20:16:21"/>
    <s v="Male"/>
    <x v="5"/>
    <x v="23"/>
    <x v="1"/>
    <x v="0"/>
    <s v="No"/>
    <s v="No"/>
    <s v="No"/>
    <s v="No"/>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8/7/2020 12:02"/>
    <x v="0"/>
    <x v="0"/>
    <x v="0"/>
    <n v="1"/>
    <x v="0"/>
    <x v="0"/>
    <x v="0"/>
    <x v="0"/>
    <x v="0"/>
    <s v="No"/>
  </r>
  <r>
    <s v="8/7/2020 12:04"/>
    <x v="1"/>
    <x v="1"/>
    <x v="1"/>
    <n v="2"/>
    <x v="0"/>
    <x v="0"/>
    <x v="1"/>
    <x v="1"/>
    <x v="1"/>
    <s v="No"/>
  </r>
  <r>
    <s v="8/7/2020 12:05"/>
    <x v="1"/>
    <x v="2"/>
    <x v="2"/>
    <n v="1"/>
    <x v="0"/>
    <x v="0"/>
    <x v="0"/>
    <x v="1"/>
    <x v="0"/>
    <s v="No"/>
  </r>
  <r>
    <s v="8/7/2020 12:06"/>
    <x v="0"/>
    <x v="3"/>
    <x v="3"/>
    <n v="3"/>
    <x v="0"/>
    <x v="1"/>
    <x v="0"/>
    <x v="0"/>
    <x v="1"/>
    <s v="No"/>
  </r>
  <r>
    <s v="8/7/2020 12:13"/>
    <x v="1"/>
    <x v="4"/>
    <x v="4"/>
    <n v="4"/>
    <x v="0"/>
    <x v="0"/>
    <x v="1"/>
    <x v="0"/>
    <x v="1"/>
    <s v="No"/>
  </r>
  <r>
    <s v="8/7/2020 12:31"/>
    <x v="1"/>
    <x v="2"/>
    <x v="0"/>
    <n v="2"/>
    <x v="1"/>
    <x v="0"/>
    <x v="1"/>
    <x v="0"/>
    <x v="0"/>
    <s v="No"/>
  </r>
  <r>
    <s v="8/7/2020 12:32"/>
    <x v="0"/>
    <x v="4"/>
    <x v="5"/>
    <n v="2"/>
    <x v="2"/>
    <x v="1"/>
    <x v="0"/>
    <x v="0"/>
    <x v="0"/>
    <s v="No"/>
  </r>
  <r>
    <s v="8/7/2020 12:33"/>
    <x v="0"/>
    <x v="0"/>
    <x v="6"/>
    <n v="1"/>
    <x v="1"/>
    <x v="0"/>
    <x v="1"/>
    <x v="1"/>
    <x v="1"/>
    <s v="No"/>
  </r>
  <r>
    <s v="8/7/2020 12:35"/>
    <x v="0"/>
    <x v="2"/>
    <x v="7"/>
    <n v="2"/>
    <x v="3"/>
    <x v="0"/>
    <x v="1"/>
    <x v="0"/>
    <x v="1"/>
    <s v="No"/>
  </r>
  <r>
    <s v="8/7/2020 12:39"/>
    <x v="1"/>
    <x v="0"/>
    <x v="8"/>
    <n v="1"/>
    <x v="1"/>
    <x v="0"/>
    <x v="1"/>
    <x v="1"/>
    <x v="0"/>
    <s v="No"/>
  </r>
  <r>
    <s v="8/7/2020 12:39"/>
    <x v="0"/>
    <x v="5"/>
    <x v="9"/>
    <n v="1"/>
    <x v="1"/>
    <x v="0"/>
    <x v="1"/>
    <x v="0"/>
    <x v="1"/>
    <s v="No"/>
  </r>
  <r>
    <s v="8/7/2020 12:39"/>
    <x v="0"/>
    <x v="6"/>
    <x v="0"/>
    <n v="3"/>
    <x v="1"/>
    <x v="1"/>
    <x v="0"/>
    <x v="0"/>
    <x v="1"/>
    <s v="No"/>
  </r>
  <r>
    <s v="8/7/2020 12:40"/>
    <x v="0"/>
    <x v="0"/>
    <x v="6"/>
    <n v="1"/>
    <x v="0"/>
    <x v="0"/>
    <x v="0"/>
    <x v="0"/>
    <x v="1"/>
    <s v="No"/>
  </r>
  <r>
    <s v="8/7/2020 12:41"/>
    <x v="1"/>
    <x v="2"/>
    <x v="0"/>
    <n v="1"/>
    <x v="0"/>
    <x v="0"/>
    <x v="1"/>
    <x v="0"/>
    <x v="1"/>
    <s v="No"/>
  </r>
  <r>
    <s v="8/7/2020 12:43"/>
    <x v="0"/>
    <x v="0"/>
    <x v="10"/>
    <n v="2"/>
    <x v="1"/>
    <x v="0"/>
    <x v="1"/>
    <x v="1"/>
    <x v="1"/>
    <s v="No"/>
  </r>
  <r>
    <s v="8/7/2020 12:43"/>
    <x v="1"/>
    <x v="6"/>
    <x v="6"/>
    <n v="3"/>
    <x v="1"/>
    <x v="0"/>
    <x v="1"/>
    <x v="0"/>
    <x v="1"/>
    <s v="No"/>
  </r>
  <r>
    <s v="8/7/2020 12:46"/>
    <x v="0"/>
    <x v="6"/>
    <x v="11"/>
    <n v="3"/>
    <x v="0"/>
    <x v="0"/>
    <x v="1"/>
    <x v="0"/>
    <x v="1"/>
    <s v="No"/>
  </r>
  <r>
    <s v="8/7/2020 12:52"/>
    <x v="0"/>
    <x v="6"/>
    <x v="12"/>
    <n v="4"/>
    <x v="0"/>
    <x v="1"/>
    <x v="0"/>
    <x v="1"/>
    <x v="0"/>
    <s v="No"/>
  </r>
  <r>
    <s v="8/7/2020 13:05"/>
    <x v="0"/>
    <x v="5"/>
    <x v="2"/>
    <n v="2"/>
    <x v="1"/>
    <x v="0"/>
    <x v="1"/>
    <x v="1"/>
    <x v="1"/>
    <s v="No"/>
  </r>
  <r>
    <s v="8/7/2020 13:07"/>
    <x v="0"/>
    <x v="0"/>
    <x v="13"/>
    <n v="2"/>
    <x v="1"/>
    <x v="1"/>
    <x v="0"/>
    <x v="1"/>
    <x v="0"/>
    <s v="No"/>
  </r>
  <r>
    <s v="8/7/2020 13:12"/>
    <x v="0"/>
    <x v="2"/>
    <x v="0"/>
    <n v="1"/>
    <x v="0"/>
    <x v="0"/>
    <x v="1"/>
    <x v="0"/>
    <x v="0"/>
    <s v="No"/>
  </r>
  <r>
    <s v="8/7/2020 13:13"/>
    <x v="0"/>
    <x v="0"/>
    <x v="14"/>
    <n v="2"/>
    <x v="0"/>
    <x v="0"/>
    <x v="1"/>
    <x v="0"/>
    <x v="1"/>
    <s v="No"/>
  </r>
  <r>
    <s v="8/7/2020 13:13"/>
    <x v="0"/>
    <x v="6"/>
    <x v="6"/>
    <n v="1"/>
    <x v="1"/>
    <x v="0"/>
    <x v="1"/>
    <x v="0"/>
    <x v="1"/>
    <s v="No"/>
  </r>
  <r>
    <s v="8/7/2020 13:15"/>
    <x v="0"/>
    <x v="6"/>
    <x v="0"/>
    <n v="1"/>
    <x v="0"/>
    <x v="0"/>
    <x v="1"/>
    <x v="0"/>
    <x v="1"/>
    <s v="No"/>
  </r>
  <r>
    <s v="8/7/2020 13:17"/>
    <x v="0"/>
    <x v="4"/>
    <x v="6"/>
    <n v="3"/>
    <x v="1"/>
    <x v="0"/>
    <x v="0"/>
    <x v="1"/>
    <x v="0"/>
    <s v="No"/>
  </r>
  <r>
    <s v="8/7/2020 13:29"/>
    <x v="0"/>
    <x v="0"/>
    <x v="15"/>
    <n v="1"/>
    <x v="1"/>
    <x v="0"/>
    <x v="1"/>
    <x v="0"/>
    <x v="1"/>
    <s v="No"/>
  </r>
  <r>
    <s v="8/7/2020 13:35"/>
    <x v="0"/>
    <x v="2"/>
    <x v="0"/>
    <n v="1"/>
    <x v="1"/>
    <x v="0"/>
    <x v="1"/>
    <x v="0"/>
    <x v="1"/>
    <s v="No"/>
  </r>
  <r>
    <s v="8/7/2020 13:41"/>
    <x v="1"/>
    <x v="0"/>
    <x v="0"/>
    <n v="2"/>
    <x v="0"/>
    <x v="1"/>
    <x v="0"/>
    <x v="1"/>
    <x v="1"/>
    <s v="No"/>
  </r>
  <r>
    <s v="8/7/2020 13:58"/>
    <x v="0"/>
    <x v="6"/>
    <x v="2"/>
    <n v="3"/>
    <x v="1"/>
    <x v="1"/>
    <x v="0"/>
    <x v="1"/>
    <x v="0"/>
    <s v="Yes"/>
  </r>
  <r>
    <s v="8/7/2020 14:05"/>
    <x v="0"/>
    <x v="6"/>
    <x v="6"/>
    <n v="4"/>
    <x v="1"/>
    <x v="0"/>
    <x v="1"/>
    <x v="0"/>
    <x v="1"/>
    <s v="No"/>
  </r>
  <r>
    <s v="8/7/2020 14:27"/>
    <x v="0"/>
    <x v="4"/>
    <x v="16"/>
    <n v="2"/>
    <x v="0"/>
    <x v="0"/>
    <x v="1"/>
    <x v="0"/>
    <x v="1"/>
    <s v="No"/>
  </r>
  <r>
    <s v="8/7/2020 14:29"/>
    <x v="1"/>
    <x v="0"/>
    <x v="6"/>
    <n v="2"/>
    <x v="0"/>
    <x v="0"/>
    <x v="1"/>
    <x v="0"/>
    <x v="1"/>
    <s v="No"/>
  </r>
  <r>
    <s v="8/7/2020 14:29"/>
    <x v="1"/>
    <x v="2"/>
    <x v="6"/>
    <n v="1"/>
    <x v="1"/>
    <x v="0"/>
    <x v="1"/>
    <x v="0"/>
    <x v="0"/>
    <s v="No"/>
  </r>
  <r>
    <s v="8/7/2020 14:31"/>
    <x v="1"/>
    <x v="0"/>
    <x v="6"/>
    <n v="2"/>
    <x v="1"/>
    <x v="1"/>
    <x v="0"/>
    <x v="1"/>
    <x v="1"/>
    <s v="Yes"/>
  </r>
  <r>
    <s v="8/7/2020 14:41"/>
    <x v="0"/>
    <x v="2"/>
    <x v="2"/>
    <n v="1"/>
    <x v="0"/>
    <x v="0"/>
    <x v="0"/>
    <x v="1"/>
    <x v="0"/>
    <s v="No"/>
  </r>
  <r>
    <s v="8/7/2020 14:43"/>
    <x v="0"/>
    <x v="0"/>
    <x v="0"/>
    <n v="1"/>
    <x v="4"/>
    <x v="0"/>
    <x v="1"/>
    <x v="0"/>
    <x v="1"/>
    <s v="No"/>
  </r>
  <r>
    <s v="8/7/2020 14:43"/>
    <x v="0"/>
    <x v="0"/>
    <x v="17"/>
    <n v="3"/>
    <x v="0"/>
    <x v="0"/>
    <x v="0"/>
    <x v="1"/>
    <x v="1"/>
    <s v="No"/>
  </r>
  <r>
    <s v="8/7/2020 14:45"/>
    <x v="0"/>
    <x v="2"/>
    <x v="2"/>
    <n v="1"/>
    <x v="3"/>
    <x v="0"/>
    <x v="0"/>
    <x v="1"/>
    <x v="0"/>
    <s v="No"/>
  </r>
  <r>
    <s v="8/7/2020 14:47"/>
    <x v="0"/>
    <x v="0"/>
    <x v="18"/>
    <n v="1"/>
    <x v="1"/>
    <x v="0"/>
    <x v="1"/>
    <x v="0"/>
    <x v="1"/>
    <s v="No"/>
  </r>
  <r>
    <s v="8/7/2020 14:56"/>
    <x v="0"/>
    <x v="6"/>
    <x v="0"/>
    <n v="2"/>
    <x v="3"/>
    <x v="1"/>
    <x v="0"/>
    <x v="0"/>
    <x v="0"/>
    <s v="Yes"/>
  </r>
  <r>
    <s v="8/7/2020 14:57"/>
    <x v="0"/>
    <x v="6"/>
    <x v="2"/>
    <n v="3"/>
    <x v="0"/>
    <x v="0"/>
    <x v="1"/>
    <x v="1"/>
    <x v="1"/>
    <s v="No"/>
  </r>
  <r>
    <s v="8/7/2020 14:57"/>
    <x v="0"/>
    <x v="3"/>
    <x v="0"/>
    <n v="4"/>
    <x v="1"/>
    <x v="0"/>
    <x v="1"/>
    <x v="0"/>
    <x v="1"/>
    <s v="No"/>
  </r>
  <r>
    <s v="8/7/2020 14:58"/>
    <x v="0"/>
    <x v="5"/>
    <x v="19"/>
    <n v="2"/>
    <x v="0"/>
    <x v="0"/>
    <x v="0"/>
    <x v="0"/>
    <x v="1"/>
    <s v="No"/>
  </r>
  <r>
    <s v="8/7/2020 15:07"/>
    <x v="1"/>
    <x v="7"/>
    <x v="2"/>
    <n v="1"/>
    <x v="5"/>
    <x v="0"/>
    <x v="1"/>
    <x v="0"/>
    <x v="1"/>
    <s v="No"/>
  </r>
  <r>
    <s v="8/7/2020 15:08"/>
    <x v="1"/>
    <x v="4"/>
    <x v="20"/>
    <n v="2"/>
    <x v="1"/>
    <x v="0"/>
    <x v="1"/>
    <x v="0"/>
    <x v="0"/>
    <s v="No"/>
  </r>
  <r>
    <s v="8/7/2020 15:09"/>
    <x v="1"/>
    <x v="0"/>
    <x v="6"/>
    <n v="1"/>
    <x v="1"/>
    <x v="0"/>
    <x v="1"/>
    <x v="1"/>
    <x v="0"/>
    <s v="No"/>
  </r>
  <r>
    <s v="8/7/2020 15:12"/>
    <x v="0"/>
    <x v="2"/>
    <x v="0"/>
    <n v="1"/>
    <x v="1"/>
    <x v="0"/>
    <x v="1"/>
    <x v="1"/>
    <x v="1"/>
    <s v="No"/>
  </r>
  <r>
    <s v="8/7/2020 15:14"/>
    <x v="0"/>
    <x v="0"/>
    <x v="21"/>
    <n v="4"/>
    <x v="1"/>
    <x v="0"/>
    <x v="1"/>
    <x v="0"/>
    <x v="1"/>
    <s v="No"/>
  </r>
  <r>
    <s v="8/7/2020 15:14"/>
    <x v="1"/>
    <x v="6"/>
    <x v="6"/>
    <n v="2"/>
    <x v="0"/>
    <x v="0"/>
    <x v="0"/>
    <x v="0"/>
    <x v="1"/>
    <s v="No"/>
  </r>
  <r>
    <s v="8/7/2020 15:18"/>
    <x v="0"/>
    <x v="6"/>
    <x v="6"/>
    <n v="3"/>
    <x v="1"/>
    <x v="0"/>
    <x v="1"/>
    <x v="0"/>
    <x v="0"/>
    <s v="No"/>
  </r>
  <r>
    <s v="8/7/2020 15:27"/>
    <x v="0"/>
    <x v="4"/>
    <x v="22"/>
    <n v="1"/>
    <x v="3"/>
    <x v="1"/>
    <x v="0"/>
    <x v="0"/>
    <x v="0"/>
    <s v="Yes"/>
  </r>
  <r>
    <s v="8/7/2020 15:37"/>
    <x v="0"/>
    <x v="0"/>
    <x v="6"/>
    <n v="2"/>
    <x v="1"/>
    <x v="0"/>
    <x v="1"/>
    <x v="1"/>
    <x v="1"/>
    <s v="No"/>
  </r>
  <r>
    <s v="8/7/2020 15:47"/>
    <x v="0"/>
    <x v="2"/>
    <x v="23"/>
    <n v="3"/>
    <x v="0"/>
    <x v="0"/>
    <x v="1"/>
    <x v="0"/>
    <x v="1"/>
    <s v="No"/>
  </r>
  <r>
    <s v="8/7/2020 15:48"/>
    <x v="0"/>
    <x v="5"/>
    <x v="14"/>
    <n v="3"/>
    <x v="0"/>
    <x v="1"/>
    <x v="0"/>
    <x v="1"/>
    <x v="0"/>
    <s v="No"/>
  </r>
  <r>
    <s v="8/7/2020 15:57"/>
    <x v="0"/>
    <x v="2"/>
    <x v="6"/>
    <n v="1"/>
    <x v="1"/>
    <x v="0"/>
    <x v="0"/>
    <x v="0"/>
    <x v="0"/>
    <s v="Yes"/>
  </r>
  <r>
    <s v="8/7/2020 15:58"/>
    <x v="1"/>
    <x v="1"/>
    <x v="6"/>
    <n v="1"/>
    <x v="0"/>
    <x v="0"/>
    <x v="1"/>
    <x v="0"/>
    <x v="1"/>
    <s v="No"/>
  </r>
  <r>
    <s v="8/7/2020 16:08"/>
    <x v="1"/>
    <x v="4"/>
    <x v="18"/>
    <n v="3"/>
    <x v="1"/>
    <x v="0"/>
    <x v="1"/>
    <x v="0"/>
    <x v="1"/>
    <s v="No"/>
  </r>
  <r>
    <s v="8/7/2020 16:21"/>
    <x v="0"/>
    <x v="5"/>
    <x v="24"/>
    <n v="3"/>
    <x v="0"/>
    <x v="0"/>
    <x v="0"/>
    <x v="1"/>
    <x v="1"/>
    <s v="No"/>
  </r>
  <r>
    <s v="8/7/2020 16:22"/>
    <x v="0"/>
    <x v="0"/>
    <x v="6"/>
    <n v="1"/>
    <x v="1"/>
    <x v="0"/>
    <x v="1"/>
    <x v="0"/>
    <x v="1"/>
    <s v="No"/>
  </r>
  <r>
    <s v="8/7/2020 16:34"/>
    <x v="0"/>
    <x v="4"/>
    <x v="24"/>
    <n v="1"/>
    <x v="0"/>
    <x v="0"/>
    <x v="1"/>
    <x v="0"/>
    <x v="1"/>
    <s v="No"/>
  </r>
  <r>
    <s v="8/7/2020 16:34"/>
    <x v="0"/>
    <x v="0"/>
    <x v="25"/>
    <n v="3"/>
    <x v="0"/>
    <x v="0"/>
    <x v="1"/>
    <x v="0"/>
    <x v="0"/>
    <s v="No"/>
  </r>
  <r>
    <s v="8/7/2020 16:53"/>
    <x v="0"/>
    <x v="2"/>
    <x v="6"/>
    <n v="1"/>
    <x v="1"/>
    <x v="0"/>
    <x v="1"/>
    <x v="0"/>
    <x v="1"/>
    <s v="No"/>
  </r>
  <r>
    <s v="8/7/2020 17:05"/>
    <x v="0"/>
    <x v="0"/>
    <x v="26"/>
    <n v="1"/>
    <x v="1"/>
    <x v="0"/>
    <x v="1"/>
    <x v="0"/>
    <x v="0"/>
    <s v="No"/>
  </r>
  <r>
    <s v="8/7/2020 17:37"/>
    <x v="0"/>
    <x v="6"/>
    <x v="27"/>
    <n v="1"/>
    <x v="1"/>
    <x v="0"/>
    <x v="1"/>
    <x v="0"/>
    <x v="0"/>
    <s v="No"/>
  </r>
  <r>
    <s v="8/7/2020 17:46"/>
    <x v="0"/>
    <x v="6"/>
    <x v="21"/>
    <n v="1"/>
    <x v="1"/>
    <x v="0"/>
    <x v="1"/>
    <x v="0"/>
    <x v="1"/>
    <s v="No"/>
  </r>
  <r>
    <s v="8/7/2020 17:50"/>
    <x v="0"/>
    <x v="4"/>
    <x v="28"/>
    <n v="1"/>
    <x v="1"/>
    <x v="0"/>
    <x v="0"/>
    <x v="1"/>
    <x v="1"/>
    <s v="No"/>
  </r>
  <r>
    <s v="8/7/2020 18:10"/>
    <x v="0"/>
    <x v="0"/>
    <x v="14"/>
    <n v="3"/>
    <x v="0"/>
    <x v="0"/>
    <x v="1"/>
    <x v="1"/>
    <x v="1"/>
    <s v="No"/>
  </r>
  <r>
    <s v="8/7/2020 18:11"/>
    <x v="1"/>
    <x v="2"/>
    <x v="29"/>
    <n v="3"/>
    <x v="0"/>
    <x v="1"/>
    <x v="0"/>
    <x v="0"/>
    <x v="0"/>
    <s v="No"/>
  </r>
  <r>
    <s v="8/7/2020 19:05"/>
    <x v="0"/>
    <x v="0"/>
    <x v="30"/>
    <n v="1"/>
    <x v="1"/>
    <x v="0"/>
    <x v="0"/>
    <x v="0"/>
    <x v="1"/>
    <s v="No"/>
  </r>
  <r>
    <s v="8/7/2020 19:32"/>
    <x v="0"/>
    <x v="6"/>
    <x v="31"/>
    <n v="4"/>
    <x v="0"/>
    <x v="0"/>
    <x v="1"/>
    <x v="1"/>
    <x v="1"/>
    <s v="No"/>
  </r>
  <r>
    <s v="8/7/2020 20:36"/>
    <x v="0"/>
    <x v="6"/>
    <x v="23"/>
    <n v="1"/>
    <x v="0"/>
    <x v="0"/>
    <x v="1"/>
    <x v="0"/>
    <x v="1"/>
    <s v="No"/>
  </r>
  <r>
    <s v="8/7/2020 21:21"/>
    <x v="0"/>
    <x v="0"/>
    <x v="3"/>
    <n v="3"/>
    <x v="1"/>
    <x v="0"/>
    <x v="1"/>
    <x v="0"/>
    <x v="0"/>
    <s v="No"/>
  </r>
  <r>
    <s v="8/7/2020 22:35"/>
    <x v="0"/>
    <x v="2"/>
    <x v="2"/>
    <n v="3"/>
    <x v="0"/>
    <x v="1"/>
    <x v="0"/>
    <x v="0"/>
    <x v="1"/>
    <s v="No"/>
  </r>
  <r>
    <s v="9/7/2020 6:57"/>
    <x v="1"/>
    <x v="0"/>
    <x v="23"/>
    <n v="1"/>
    <x v="5"/>
    <x v="0"/>
    <x v="1"/>
    <x v="0"/>
    <x v="1"/>
    <s v="No"/>
  </r>
  <r>
    <s v="9/7/2020 11:43"/>
    <x v="1"/>
    <x v="6"/>
    <x v="2"/>
    <n v="3"/>
    <x v="1"/>
    <x v="0"/>
    <x v="1"/>
    <x v="1"/>
    <x v="1"/>
    <s v="No"/>
  </r>
  <r>
    <s v="9/7/2020 11:57"/>
    <x v="0"/>
    <x v="6"/>
    <x v="14"/>
    <n v="1"/>
    <x v="1"/>
    <x v="0"/>
    <x v="1"/>
    <x v="1"/>
    <x v="0"/>
    <s v="No"/>
  </r>
  <r>
    <s v="9/7/2020 13:15"/>
    <x v="0"/>
    <x v="4"/>
    <x v="0"/>
    <n v="1"/>
    <x v="0"/>
    <x v="0"/>
    <x v="0"/>
    <x v="0"/>
    <x v="1"/>
    <s v="No"/>
  </r>
  <r>
    <s v="9/7/2020 18:24"/>
    <x v="0"/>
    <x v="0"/>
    <x v="32"/>
    <n v="2"/>
    <x v="0"/>
    <x v="0"/>
    <x v="1"/>
    <x v="0"/>
    <x v="0"/>
    <s v="No"/>
  </r>
  <r>
    <s v="13/07/2020 10:07:32"/>
    <x v="0"/>
    <x v="2"/>
    <x v="33"/>
    <n v="3"/>
    <x v="5"/>
    <x v="0"/>
    <x v="1"/>
    <x v="0"/>
    <x v="1"/>
    <s v="No"/>
  </r>
  <r>
    <s v="13/07/2020 10:10:30"/>
    <x v="0"/>
    <x v="0"/>
    <x v="0"/>
    <n v="4"/>
    <x v="1"/>
    <x v="0"/>
    <x v="1"/>
    <x v="0"/>
    <x v="1"/>
    <s v="No"/>
  </r>
  <r>
    <s v="13/07/2020 10:11:26"/>
    <x v="0"/>
    <x v="6"/>
    <x v="34"/>
    <n v="2"/>
    <x v="1"/>
    <x v="1"/>
    <x v="0"/>
    <x v="1"/>
    <x v="0"/>
    <s v="No"/>
  </r>
  <r>
    <s v="13/07/2020 10:12:18"/>
    <x v="0"/>
    <x v="6"/>
    <x v="35"/>
    <n v="2"/>
    <x v="1"/>
    <x v="0"/>
    <x v="1"/>
    <x v="0"/>
    <x v="1"/>
    <s v="No"/>
  </r>
  <r>
    <s v="13/07/2020 10:12:26"/>
    <x v="0"/>
    <x v="2"/>
    <x v="0"/>
    <n v="1"/>
    <x v="0"/>
    <x v="0"/>
    <x v="0"/>
    <x v="1"/>
    <x v="1"/>
    <s v="No"/>
  </r>
  <r>
    <s v="13/07/2020 10:12:28"/>
    <x v="0"/>
    <x v="2"/>
    <x v="36"/>
    <n v="2"/>
    <x v="0"/>
    <x v="0"/>
    <x v="1"/>
    <x v="0"/>
    <x v="1"/>
    <s v="No"/>
  </r>
  <r>
    <s v="13/07/2020 10:14:46"/>
    <x v="1"/>
    <x v="4"/>
    <x v="37"/>
    <n v="1"/>
    <x v="0"/>
    <x v="0"/>
    <x v="1"/>
    <x v="0"/>
    <x v="1"/>
    <s v="No"/>
  </r>
  <r>
    <s v="13/07/2020 10:33:47"/>
    <x v="0"/>
    <x v="0"/>
    <x v="9"/>
    <n v="1"/>
    <x v="1"/>
    <x v="0"/>
    <x v="0"/>
    <x v="1"/>
    <x v="1"/>
    <s v="Yes"/>
  </r>
  <r>
    <s v="13/07/2020 10:34:08"/>
    <x v="0"/>
    <x v="2"/>
    <x v="38"/>
    <n v="3"/>
    <x v="0"/>
    <x v="0"/>
    <x v="1"/>
    <x v="0"/>
    <x v="1"/>
    <s v="No"/>
  </r>
  <r>
    <s v="13/07/2020 11:46:13"/>
    <x v="0"/>
    <x v="0"/>
    <x v="9"/>
    <n v="1"/>
    <x v="1"/>
    <x v="0"/>
    <x v="0"/>
    <x v="1"/>
    <x v="0"/>
    <s v="No"/>
  </r>
  <r>
    <s v="13/07/2020 11:49:02"/>
    <x v="1"/>
    <x v="6"/>
    <x v="2"/>
    <n v="1"/>
    <x v="0"/>
    <x v="0"/>
    <x v="1"/>
    <x v="1"/>
    <x v="1"/>
    <s v="No"/>
  </r>
  <r>
    <s v="13/07/2020 11:54:58"/>
    <x v="1"/>
    <x v="6"/>
    <x v="0"/>
    <n v="2"/>
    <x v="4"/>
    <x v="0"/>
    <x v="1"/>
    <x v="0"/>
    <x v="0"/>
    <s v="No"/>
  </r>
  <r>
    <s v="13/07/2020 13:57:11"/>
    <x v="0"/>
    <x v="4"/>
    <x v="39"/>
    <n v="3"/>
    <x v="1"/>
    <x v="0"/>
    <x v="1"/>
    <x v="0"/>
    <x v="0"/>
    <s v="No"/>
  </r>
  <r>
    <s v="13/07/2020 14:38:12"/>
    <x v="1"/>
    <x v="0"/>
    <x v="14"/>
    <n v="2"/>
    <x v="0"/>
    <x v="0"/>
    <x v="1"/>
    <x v="1"/>
    <x v="1"/>
    <s v="No"/>
  </r>
  <r>
    <s v="13/07/2020 14:48:05"/>
    <x v="0"/>
    <x v="2"/>
    <x v="14"/>
    <n v="2"/>
    <x v="0"/>
    <x v="1"/>
    <x v="0"/>
    <x v="0"/>
    <x v="1"/>
    <s v="No"/>
  </r>
  <r>
    <s v="13/07/2020 16:15:13"/>
    <x v="0"/>
    <x v="0"/>
    <x v="24"/>
    <n v="1"/>
    <x v="0"/>
    <x v="0"/>
    <x v="0"/>
    <x v="0"/>
    <x v="1"/>
    <s v="No"/>
  </r>
  <r>
    <s v="13/07/2020 17:30:44"/>
    <x v="0"/>
    <x v="6"/>
    <x v="40"/>
    <n v="3"/>
    <x v="5"/>
    <x v="0"/>
    <x v="1"/>
    <x v="0"/>
    <x v="0"/>
    <s v="No"/>
  </r>
  <r>
    <s v="13/07/2020 19:08:32"/>
    <x v="0"/>
    <x v="0"/>
    <x v="1"/>
    <n v="1"/>
    <x v="1"/>
    <x v="0"/>
    <x v="1"/>
    <x v="0"/>
    <x v="1"/>
    <s v="No"/>
  </r>
  <r>
    <s v="13/07/2020 19:56:49"/>
    <x v="0"/>
    <x v="1"/>
    <x v="6"/>
    <n v="1"/>
    <x v="1"/>
    <x v="0"/>
    <x v="1"/>
    <x v="1"/>
    <x v="1"/>
    <s v="No"/>
  </r>
  <r>
    <s v="13/07/2020 21:21:42"/>
    <x v="1"/>
    <x v="0"/>
    <x v="0"/>
    <n v="2"/>
    <x v="0"/>
    <x v="0"/>
    <x v="0"/>
    <x v="1"/>
    <x v="1"/>
    <s v="No"/>
  </r>
  <r>
    <s v="13/07/2020 21:22:56"/>
    <x v="0"/>
    <x v="2"/>
    <x v="41"/>
    <n v="3"/>
    <x v="1"/>
    <x v="1"/>
    <x v="0"/>
    <x v="0"/>
    <x v="0"/>
    <s v="No"/>
  </r>
  <r>
    <s v="13/07/2020 21:23:57"/>
    <x v="0"/>
    <x v="4"/>
    <x v="5"/>
    <n v="4"/>
    <x v="1"/>
    <x v="0"/>
    <x v="1"/>
    <x v="0"/>
    <x v="1"/>
    <s v="No"/>
  </r>
  <r>
    <s v="18/07/2020 20:16:21"/>
    <x v="1"/>
    <x v="5"/>
    <x v="23"/>
    <n v="2"/>
    <x v="0"/>
    <x v="0"/>
    <x v="1"/>
    <x v="0"/>
    <x v="1"/>
    <s v="No"/>
  </r>
  <r>
    <m/>
    <x v="2"/>
    <x v="8"/>
    <x v="42"/>
    <m/>
    <x v="6"/>
    <x v="2"/>
    <x v="2"/>
    <x v="2"/>
    <x v="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8/7/2020 12:02"/>
    <s v="Female"/>
    <n v="18"/>
    <s v="Engineering"/>
    <s v="year 1"/>
    <s v="3.00 - 3.49"/>
    <s v="No"/>
    <x v="0"/>
    <s v="No"/>
    <s v="Yes"/>
    <s v="No"/>
  </r>
  <r>
    <s v="8/7/2020 12:04"/>
    <s v="Male"/>
    <n v="21"/>
    <s v="Islamic education"/>
    <s v="year 2"/>
    <s v="3.00 - 3.49"/>
    <s v="No"/>
    <x v="1"/>
    <s v="Yes"/>
    <s v="No"/>
    <s v="No"/>
  </r>
  <r>
    <s v="8/7/2020 12:05"/>
    <s v="Male"/>
    <n v="19"/>
    <s v="BIT"/>
    <s v="year 1"/>
    <s v="3.00 - 3.49"/>
    <s v="No"/>
    <x v="0"/>
    <s v="Yes"/>
    <s v="Yes"/>
    <s v="No"/>
  </r>
  <r>
    <s v="8/7/2020 12:06"/>
    <s v="Female"/>
    <n v="22"/>
    <s v="Laws"/>
    <s v="year 3"/>
    <s v="3.00 - 3.49"/>
    <s v="Yes"/>
    <x v="0"/>
    <s v="No"/>
    <s v="No"/>
    <s v="No"/>
  </r>
  <r>
    <s v="8/7/2020 12:13"/>
    <s v="Male"/>
    <n v="23"/>
    <s v="Mathemathics"/>
    <s v="year 4"/>
    <s v="3.00 - 3.49"/>
    <s v="No"/>
    <x v="1"/>
    <s v="No"/>
    <s v="No"/>
    <s v="No"/>
  </r>
  <r>
    <s v="8/7/2020 12:31"/>
    <s v="Male"/>
    <n v="19"/>
    <s v="Engineering"/>
    <s v="year 2"/>
    <s v="3.50 - 4.00"/>
    <s v="No"/>
    <x v="1"/>
    <s v="No"/>
    <s v="Yes"/>
    <s v="No"/>
  </r>
  <r>
    <s v="8/7/2020 12:32"/>
    <s v="Female"/>
    <n v="23"/>
    <s v="Pendidikan islam"/>
    <s v="year 2"/>
    <s v="3.50 - 4.00 "/>
    <s v="Yes"/>
    <x v="0"/>
    <s v="No"/>
    <s v="Yes"/>
    <s v="No"/>
  </r>
  <r>
    <s v="8/7/2020 12:33"/>
    <s v="Female"/>
    <n v="18"/>
    <s v="BCS"/>
    <s v="year 1"/>
    <s v="3.50 - 4.00"/>
    <s v="No"/>
    <x v="1"/>
    <s v="Yes"/>
    <s v="No"/>
    <s v="No"/>
  </r>
  <r>
    <s v="8/7/2020 12:35"/>
    <s v="Female"/>
    <n v="19"/>
    <s v="Human Resources"/>
    <s v="year 2"/>
    <s v="2.50 - 2.99"/>
    <s v="No"/>
    <x v="1"/>
    <s v="No"/>
    <s v="No"/>
    <s v="No"/>
  </r>
  <r>
    <s v="8/7/2020 12:39"/>
    <s v="Male"/>
    <n v="18"/>
    <s v="Irkhs"/>
    <s v="year 1"/>
    <s v="3.50 - 4.00"/>
    <s v="No"/>
    <x v="1"/>
    <s v="Yes"/>
    <s v="Yes"/>
    <s v="No"/>
  </r>
  <r>
    <s v="8/7/2020 12:39"/>
    <s v="Female"/>
    <n v="20"/>
    <s v="Psychology"/>
    <s v="year 1"/>
    <s v="3.50 - 4.00"/>
    <s v="No"/>
    <x v="1"/>
    <s v="No"/>
    <s v="No"/>
    <s v="No"/>
  </r>
  <r>
    <s v="8/7/2020 12:39"/>
    <s v="Female"/>
    <n v="24"/>
    <s v="Engineering"/>
    <s v="year 3"/>
    <s v="3.50 - 4.00"/>
    <s v="Yes"/>
    <x v="0"/>
    <s v="No"/>
    <s v="No"/>
    <s v="No"/>
  </r>
  <r>
    <s v="8/7/2020 12:40"/>
    <s v="Female"/>
    <n v="18"/>
    <s v="BCS"/>
    <s v="year 1"/>
    <s v="3.00 - 3.49"/>
    <s v="No"/>
    <x v="0"/>
    <s v="No"/>
    <s v="No"/>
    <s v="No"/>
  </r>
  <r>
    <s v="8/7/2020 12:41"/>
    <s v="Male"/>
    <n v="19"/>
    <s v="Engineering"/>
    <s v="year 1"/>
    <s v="3.00 - 3.49"/>
    <s v="No"/>
    <x v="1"/>
    <s v="No"/>
    <s v="No"/>
    <s v="No"/>
  </r>
  <r>
    <s v="8/7/2020 12:43"/>
    <s v="Female"/>
    <n v="18"/>
    <s v="KENMS"/>
    <s v="year 2"/>
    <s v="3.50 - 4.00"/>
    <s v="No"/>
    <x v="1"/>
    <s v="Yes"/>
    <s v="No"/>
    <s v="No"/>
  </r>
  <r>
    <s v="8/7/2020 12:43"/>
    <s v="Male"/>
    <n v="24"/>
    <s v="BCS"/>
    <s v="year 3"/>
    <s v="3.50 - 4.00"/>
    <s v="No"/>
    <x v="1"/>
    <s v="No"/>
    <s v="No"/>
    <s v="No"/>
  </r>
  <r>
    <s v="8/7/2020 12:46"/>
    <s v="Female"/>
    <n v="24"/>
    <s v="Accounting "/>
    <s v="year 3"/>
    <s v="3.00 - 3.49"/>
    <s v="No"/>
    <x v="1"/>
    <s v="No"/>
    <s v="No"/>
    <s v="No"/>
  </r>
  <r>
    <s v="8/7/2020 12:52"/>
    <s v="Female"/>
    <n v="24"/>
    <s v="ENM"/>
    <s v="year 4"/>
    <s v="3.00 - 3.49"/>
    <s v="Yes"/>
    <x v="0"/>
    <s v="Yes"/>
    <s v="Yes"/>
    <s v="No"/>
  </r>
  <r>
    <s v="8/7/2020 13:05"/>
    <s v="Female"/>
    <n v="20"/>
    <s v="BIT"/>
    <s v="year 2"/>
    <s v="3.50 - 4.00"/>
    <s v="No"/>
    <x v="1"/>
    <s v="Yes"/>
    <s v="No"/>
    <s v="No"/>
  </r>
  <r>
    <s v="8/7/2020 13:07"/>
    <s v="Female"/>
    <n v="18"/>
    <s v="Marine science"/>
    <s v="year 2"/>
    <s v="3.50 - 4.00"/>
    <s v="Yes"/>
    <x v="0"/>
    <s v="Yes"/>
    <s v="Yes"/>
    <s v="No"/>
  </r>
  <r>
    <s v="8/7/2020 13:12"/>
    <s v="Female"/>
    <n v="19"/>
    <s v="Engineering"/>
    <s v="year 1"/>
    <s v="3.00 - 3.49"/>
    <s v="No"/>
    <x v="1"/>
    <s v="No"/>
    <s v="Yes"/>
    <s v="No"/>
  </r>
  <r>
    <s v="8/7/2020 13:13"/>
    <s v="Female"/>
    <n v="18"/>
    <s v="KOE"/>
    <s v="year 2"/>
    <s v="3.00 - 3.49"/>
    <s v="No"/>
    <x v="1"/>
    <s v="No"/>
    <s v="No"/>
    <s v="No"/>
  </r>
  <r>
    <s v="8/7/2020 13:13"/>
    <s v="Female"/>
    <n v="24"/>
    <s v="BCS"/>
    <s v="year 1"/>
    <s v="3.50 - 4.00"/>
    <s v="No"/>
    <x v="1"/>
    <s v="No"/>
    <s v="No"/>
    <s v="No"/>
  </r>
  <r>
    <s v="8/7/2020 13:15"/>
    <s v="Female"/>
    <n v="24"/>
    <s v="Engineering"/>
    <s v="year 1"/>
    <s v="3.00 - 3.49"/>
    <s v="No"/>
    <x v="1"/>
    <s v="No"/>
    <s v="No"/>
    <s v="No"/>
  </r>
  <r>
    <s v="8/7/2020 13:17"/>
    <s v="Female"/>
    <n v="23"/>
    <s v="BCS"/>
    <s v="year 3"/>
    <s v="3.50 - 4.00"/>
    <s v="No"/>
    <x v="0"/>
    <s v="Yes"/>
    <s v="Yes"/>
    <s v="No"/>
  </r>
  <r>
    <s v="8/7/2020 13:29"/>
    <s v="Female"/>
    <n v="18"/>
    <s v="Banking Studies"/>
    <s v="year 1"/>
    <s v="3.50 - 4.00"/>
    <s v="No"/>
    <x v="1"/>
    <s v="No"/>
    <s v="No"/>
    <s v="No"/>
  </r>
  <r>
    <s v="8/7/2020 13:35"/>
    <s v="Female"/>
    <n v="19"/>
    <s v="Engineering"/>
    <s v="year 1"/>
    <s v="3.50 - 4.00"/>
    <s v="No"/>
    <x v="1"/>
    <s v="No"/>
    <s v="No"/>
    <s v="No"/>
  </r>
  <r>
    <s v="8/7/2020 13:41"/>
    <s v="Male"/>
    <n v="18"/>
    <s v="Engineering"/>
    <s v="year 2"/>
    <s v="3.00 - 3.49"/>
    <s v="Yes"/>
    <x v="0"/>
    <s v="Yes"/>
    <s v="No"/>
    <s v="No"/>
  </r>
  <r>
    <s v="8/7/2020 13:58"/>
    <s v="Female"/>
    <n v="24"/>
    <s v="BIT"/>
    <s v="year 3"/>
    <s v="3.50 - 4.00"/>
    <s v="Yes"/>
    <x v="0"/>
    <s v="Yes"/>
    <s v="Yes"/>
    <s v="Yes"/>
  </r>
  <r>
    <s v="8/7/2020 14:05"/>
    <s v="Female"/>
    <n v="24"/>
    <s v="BCS"/>
    <s v="year 4"/>
    <s v="3.50 - 4.00"/>
    <s v="No"/>
    <x v="1"/>
    <s v="No"/>
    <s v="No"/>
    <s v="No"/>
  </r>
  <r>
    <s v="8/7/2020 14:27"/>
    <s v="Female"/>
    <n v="23"/>
    <s v="Business Administration"/>
    <s v="year 2"/>
    <s v="3.00 - 3.49"/>
    <s v="No"/>
    <x v="1"/>
    <s v="No"/>
    <s v="No"/>
    <s v="No"/>
  </r>
  <r>
    <s v="8/7/2020 14:29"/>
    <s v="Male"/>
    <n v="18"/>
    <s v="BCS"/>
    <s v="year 2"/>
    <s v="3.00 - 3.49"/>
    <s v="No"/>
    <x v="1"/>
    <s v="No"/>
    <s v="No"/>
    <s v="No"/>
  </r>
  <r>
    <s v="8/7/2020 14:29"/>
    <s v="Male"/>
    <n v="19"/>
    <s v="BCS"/>
    <s v="year 1"/>
    <s v="3.50 - 4.00"/>
    <s v="No"/>
    <x v="1"/>
    <s v="No"/>
    <s v="Yes"/>
    <s v="No"/>
  </r>
  <r>
    <s v="8/7/2020 14:31"/>
    <s v="Male"/>
    <n v="18"/>
    <s v="BCS"/>
    <s v="year 2"/>
    <s v="3.50 - 4.00"/>
    <s v="Yes"/>
    <x v="0"/>
    <s v="Yes"/>
    <s v="No"/>
    <s v="Yes"/>
  </r>
  <r>
    <s v="8/7/2020 14:41"/>
    <s v="Female"/>
    <n v="19"/>
    <s v="BIT"/>
    <s v="year 1"/>
    <s v="3.00 - 3.49"/>
    <s v="No"/>
    <x v="0"/>
    <s v="Yes"/>
    <s v="Yes"/>
    <s v="No"/>
  </r>
  <r>
    <s v="8/7/2020 14:43"/>
    <s v="Female"/>
    <n v="18"/>
    <s v="Engineering"/>
    <s v="year 1"/>
    <s v="2.00 - 2.49"/>
    <s v="No"/>
    <x v="1"/>
    <s v="No"/>
    <s v="No"/>
    <s v="No"/>
  </r>
  <r>
    <s v="8/7/2020 14:43"/>
    <s v="Female"/>
    <n v="18"/>
    <s v="Law"/>
    <s v="year 3"/>
    <s v="3.00 - 3.49"/>
    <s v="No"/>
    <x v="0"/>
    <s v="Yes"/>
    <s v="No"/>
    <s v="No"/>
  </r>
  <r>
    <s v="8/7/2020 14:45"/>
    <s v="Female"/>
    <n v="19"/>
    <s v="BIT"/>
    <s v="year 1"/>
    <s v="2.50 - 2.99"/>
    <s v="No"/>
    <x v="0"/>
    <s v="Yes"/>
    <s v="Yes"/>
    <s v="No"/>
  </r>
  <r>
    <s v="8/7/2020 14:47"/>
    <s v="Female"/>
    <n v="18"/>
    <s v="KIRKHS"/>
    <s v="year 1"/>
    <s v="3.50 - 4.00"/>
    <s v="No"/>
    <x v="1"/>
    <s v="No"/>
    <s v="No"/>
    <s v="No"/>
  </r>
  <r>
    <s v="8/7/2020 14:56"/>
    <s v="Female"/>
    <n v="24"/>
    <s v="Engineering"/>
    <s v="year 2"/>
    <s v="2.50 - 2.99"/>
    <s v="Yes"/>
    <x v="0"/>
    <s v="No"/>
    <s v="Yes"/>
    <s v="Yes"/>
  </r>
  <r>
    <s v="8/7/2020 14:57"/>
    <s v="Female"/>
    <n v="24"/>
    <s v="BIT"/>
    <s v="year 3"/>
    <s v="3.00 - 3.49"/>
    <s v="No"/>
    <x v="1"/>
    <s v="Yes"/>
    <s v="No"/>
    <s v="No"/>
  </r>
  <r>
    <s v="8/7/2020 14:57"/>
    <s v="Female"/>
    <n v="22"/>
    <s v="Engineering"/>
    <s v="year 4"/>
    <s v="3.50 - 4.00"/>
    <s v="No"/>
    <x v="1"/>
    <s v="No"/>
    <s v="No"/>
    <s v="No"/>
  </r>
  <r>
    <s v="8/7/2020 14:58"/>
    <s v="Female"/>
    <n v="20"/>
    <s v="Usuluddin "/>
    <s v="year 2"/>
    <s v="3.00 - 3.49"/>
    <s v="No"/>
    <x v="0"/>
    <s v="No"/>
    <s v="No"/>
    <s v="No"/>
  </r>
  <r>
    <s v="8/7/2020 15:07"/>
    <s v="Male"/>
    <m/>
    <s v="BIT"/>
    <s v="year 1"/>
    <s v="0 - 1.99"/>
    <s v="No"/>
    <x v="1"/>
    <s v="No"/>
    <s v="No"/>
    <s v="No"/>
  </r>
  <r>
    <s v="8/7/2020 15:08"/>
    <s v="Male"/>
    <n v="23"/>
    <s v="TAASL"/>
    <s v="year 2"/>
    <s v="3.50 - 4.00"/>
    <s v="No"/>
    <x v="1"/>
    <s v="No"/>
    <s v="Yes"/>
    <s v="No"/>
  </r>
  <r>
    <s v="8/7/2020 15:09"/>
    <s v="Male"/>
    <n v="18"/>
    <s v="BCS"/>
    <s v="year 1"/>
    <s v="3.50 - 4.00"/>
    <s v="No"/>
    <x v="1"/>
    <s v="Yes"/>
    <s v="Yes"/>
    <s v="No"/>
  </r>
  <r>
    <s v="8/7/2020 15:12"/>
    <s v="Female"/>
    <n v="19"/>
    <s v="Engineering"/>
    <s v="year 1"/>
    <s v="3.50 - 4.00"/>
    <s v="No"/>
    <x v="1"/>
    <s v="Yes"/>
    <s v="No"/>
    <s v="No"/>
  </r>
  <r>
    <s v="8/7/2020 15:14"/>
    <s v="Female"/>
    <n v="18"/>
    <s v="Engine"/>
    <s v="year 4"/>
    <s v="3.50 - 4.00"/>
    <s v="No"/>
    <x v="1"/>
    <s v="No"/>
    <s v="No"/>
    <s v="No"/>
  </r>
  <r>
    <s v="8/7/2020 15:14"/>
    <s v="Male"/>
    <n v="24"/>
    <s v="BCS"/>
    <s v="year 2"/>
    <s v="3.00 - 3.49"/>
    <s v="No"/>
    <x v="0"/>
    <s v="No"/>
    <s v="No"/>
    <s v="No"/>
  </r>
  <r>
    <s v="8/7/2020 15:18"/>
    <s v="Female"/>
    <n v="24"/>
    <s v="BCS"/>
    <s v="year 3"/>
    <s v="3.50 - 4.00"/>
    <s v="No"/>
    <x v="1"/>
    <s v="No"/>
    <s v="Yes"/>
    <s v="No"/>
  </r>
  <r>
    <s v="8/7/2020 15:27"/>
    <s v="Female"/>
    <n v="23"/>
    <s v="ALA"/>
    <s v="year 1"/>
    <s v="2.50 - 2.99"/>
    <s v="Yes"/>
    <x v="0"/>
    <s v="No"/>
    <s v="Yes"/>
    <s v="Yes"/>
  </r>
  <r>
    <s v="8/7/2020 15:37"/>
    <s v="Female"/>
    <n v="18"/>
    <s v="BCS"/>
    <s v="year 2"/>
    <s v="3.50 - 4.00"/>
    <s v="No"/>
    <x v="1"/>
    <s v="Yes"/>
    <s v="No"/>
    <s v="No"/>
  </r>
  <r>
    <s v="8/7/2020 15:47"/>
    <s v="Female"/>
    <n v="19"/>
    <s v="Biomedical science"/>
    <s v="year 3"/>
    <s v="3.00 - 3.49"/>
    <s v="No"/>
    <x v="1"/>
    <s v="No"/>
    <s v="No"/>
    <s v="No"/>
  </r>
  <r>
    <s v="8/7/2020 15:48"/>
    <s v="Female"/>
    <n v="20"/>
    <s v="KOE"/>
    <s v="year 3"/>
    <s v="3.00 - 3.49"/>
    <s v="Yes"/>
    <x v="0"/>
    <s v="Yes"/>
    <s v="Yes"/>
    <s v="No"/>
  </r>
  <r>
    <s v="8/7/2020 15:57"/>
    <s v="Female"/>
    <n v="19"/>
    <s v="BCS"/>
    <s v="year 1"/>
    <s v="3.50 - 4.00"/>
    <s v="No"/>
    <x v="0"/>
    <s v="No"/>
    <s v="Yes"/>
    <s v="Yes"/>
  </r>
  <r>
    <s v="8/7/2020 15:58"/>
    <s v="Male"/>
    <n v="21"/>
    <s v="BCS"/>
    <s v="year 1"/>
    <s v="3.00 - 3.49"/>
    <s v="No"/>
    <x v="1"/>
    <s v="No"/>
    <s v="No"/>
    <s v="No"/>
  </r>
  <r>
    <s v="8/7/2020 16:08"/>
    <s v="Male"/>
    <n v="23"/>
    <s v="KIRKHS"/>
    <s v="year 3"/>
    <s v="3.50 - 4.00"/>
    <s v="No"/>
    <x v="1"/>
    <s v="No"/>
    <s v="No"/>
    <s v="No"/>
  </r>
  <r>
    <s v="8/7/2020 16:21"/>
    <s v="Female"/>
    <n v="20"/>
    <s v="BENL"/>
    <s v="year 3"/>
    <s v="3.00 - 3.49"/>
    <s v="No"/>
    <x v="0"/>
    <s v="Yes"/>
    <s v="No"/>
    <s v="No"/>
  </r>
  <r>
    <s v="8/7/2020 16:22"/>
    <s v="Female"/>
    <n v="18"/>
    <s v="BCS"/>
    <s v="year 1"/>
    <s v="3.50 - 4.00"/>
    <s v="No"/>
    <x v="1"/>
    <s v="No"/>
    <s v="No"/>
    <s v="No"/>
  </r>
  <r>
    <s v="8/7/2020 16:34"/>
    <s v="Female"/>
    <n v="23"/>
    <s v="BENL"/>
    <s v="year 1"/>
    <s v="3.00 - 3.49"/>
    <s v="No"/>
    <x v="1"/>
    <s v="No"/>
    <s v="No"/>
    <s v="No"/>
  </r>
  <r>
    <s v="8/7/2020 16:34"/>
    <s v="Female"/>
    <n v="18"/>
    <s v="IT"/>
    <s v="year 3"/>
    <s v="3.00 - 3.49"/>
    <s v="No"/>
    <x v="1"/>
    <s v="No"/>
    <s v="Yes"/>
    <s v="No"/>
  </r>
  <r>
    <s v="8/7/2020 16:53"/>
    <s v="Female"/>
    <n v="19"/>
    <s v="BCS"/>
    <s v="year 1"/>
    <s v="3.50 - 4.00"/>
    <s v="No"/>
    <x v="1"/>
    <s v="No"/>
    <s v="No"/>
    <s v="No"/>
  </r>
  <r>
    <s v="8/7/2020 17:05"/>
    <s v="Female"/>
    <n v="18"/>
    <s v="CTS"/>
    <s v="year 1"/>
    <s v="3.50 - 4.00"/>
    <s v="No"/>
    <x v="1"/>
    <s v="No"/>
    <s v="Yes"/>
    <s v="No"/>
  </r>
  <r>
    <s v="8/7/2020 17:37"/>
    <s v="Female"/>
    <n v="24"/>
    <s v="engin"/>
    <s v="year 1"/>
    <s v="3.50 - 4.00"/>
    <s v="No"/>
    <x v="1"/>
    <s v="No"/>
    <s v="Yes"/>
    <s v="No"/>
  </r>
  <r>
    <s v="8/7/2020 17:46"/>
    <s v="Female"/>
    <n v="24"/>
    <s v="Engine"/>
    <s v="year 1"/>
    <s v="3.50 - 4.00"/>
    <s v="No"/>
    <x v="1"/>
    <s v="No"/>
    <s v="No"/>
    <s v="No"/>
  </r>
  <r>
    <s v="8/7/2020 17:50"/>
    <s v="Female"/>
    <n v="23"/>
    <s v="Econs"/>
    <s v="year 1"/>
    <s v="3.50 - 4.00"/>
    <s v="No"/>
    <x v="0"/>
    <s v="Yes"/>
    <s v="No"/>
    <s v="No"/>
  </r>
  <r>
    <s v="8/7/2020 18:10"/>
    <s v="Female"/>
    <n v="18"/>
    <s v="KOE"/>
    <s v="year 3"/>
    <s v="3.00 - 3.49"/>
    <s v="No"/>
    <x v="1"/>
    <s v="Yes"/>
    <s v="No"/>
    <s v="No"/>
  </r>
  <r>
    <s v="8/7/2020 18:11"/>
    <s v="Male"/>
    <n v="19"/>
    <s v="MHSC"/>
    <s v="year 3"/>
    <s v="3.00 - 3.49"/>
    <s v="Yes"/>
    <x v="0"/>
    <s v="No"/>
    <s v="Yes"/>
    <s v="No"/>
  </r>
  <r>
    <s v="8/7/2020 19:05"/>
    <s v="Female"/>
    <n v="18"/>
    <s v="Malcom"/>
    <s v="year 1"/>
    <s v="3.50 - 4.00"/>
    <s v="No"/>
    <x v="0"/>
    <s v="No"/>
    <s v="No"/>
    <s v="No"/>
  </r>
  <r>
    <s v="8/7/2020 19:32"/>
    <s v="Female"/>
    <n v="24"/>
    <s v="Kop"/>
    <s v="year 4"/>
    <s v="3.00 - 3.49"/>
    <s v="No"/>
    <x v="1"/>
    <s v="Yes"/>
    <s v="No"/>
    <s v="No"/>
  </r>
  <r>
    <s v="8/7/2020 20:36"/>
    <s v="Female"/>
    <n v="24"/>
    <s v="Biomedical science"/>
    <s v="year 1"/>
    <s v="3.00 - 3.49"/>
    <s v="No"/>
    <x v="1"/>
    <s v="No"/>
    <s v="No"/>
    <s v="No"/>
  </r>
  <r>
    <s v="8/7/2020 21:21"/>
    <s v="Female"/>
    <n v="18"/>
    <s v="Laws"/>
    <s v="year 3"/>
    <s v="3.50 - 4.00"/>
    <s v="No"/>
    <x v="1"/>
    <s v="No"/>
    <s v="Yes"/>
    <s v="No"/>
  </r>
  <r>
    <s v="8/7/2020 22:35"/>
    <s v="Female"/>
    <n v="19"/>
    <s v="BIT"/>
    <s v="year 3"/>
    <s v="3.00 - 3.49"/>
    <s v="Yes"/>
    <x v="0"/>
    <s v="No"/>
    <s v="No"/>
    <s v="No"/>
  </r>
  <r>
    <s v="9/7/2020 6:57"/>
    <s v="Male"/>
    <n v="18"/>
    <s v="Biomedical science"/>
    <s v="year 1"/>
    <s v="0 - 1.99"/>
    <s v="No"/>
    <x v="1"/>
    <s v="No"/>
    <s v="No"/>
    <s v="No"/>
  </r>
  <r>
    <s v="9/7/2020 11:43"/>
    <s v="Male"/>
    <n v="24"/>
    <s v="BIT"/>
    <s v="year 3"/>
    <s v="3.50 - 4.00"/>
    <s v="No"/>
    <x v="1"/>
    <s v="Yes"/>
    <s v="No"/>
    <s v="No"/>
  </r>
  <r>
    <s v="9/7/2020 11:57"/>
    <s v="Female"/>
    <n v="24"/>
    <s v="KOE"/>
    <s v="year 1"/>
    <s v="3.50 - 4.00"/>
    <s v="No"/>
    <x v="1"/>
    <s v="Yes"/>
    <s v="Yes"/>
    <s v="No"/>
  </r>
  <r>
    <s v="9/7/2020 13:15"/>
    <s v="Female"/>
    <n v="23"/>
    <s v="Engineering"/>
    <s v="year 1"/>
    <s v="3.00 - 3.49"/>
    <s v="No"/>
    <x v="0"/>
    <s v="No"/>
    <s v="No"/>
    <s v="No"/>
  </r>
  <r>
    <s v="9/7/2020 18:24"/>
    <s v="Female"/>
    <n v="18"/>
    <s v="Human Sciences "/>
    <s v="year 2"/>
    <s v="3.00 - 3.49"/>
    <s v="No"/>
    <x v="1"/>
    <s v="No"/>
    <s v="Yes"/>
    <s v="No"/>
  </r>
  <r>
    <s v="13/07/2020 10:07:32"/>
    <s v="Female"/>
    <n v="19"/>
    <s v="Biotechnology"/>
    <s v="year 3"/>
    <s v="0 - 1.99"/>
    <s v="No"/>
    <x v="1"/>
    <s v="No"/>
    <s v="No"/>
    <s v="No"/>
  </r>
  <r>
    <s v="13/07/2020 10:10:30"/>
    <s v="Female"/>
    <n v="18"/>
    <s v="Engineering"/>
    <s v="year 4"/>
    <s v="3.50 - 4.00"/>
    <s v="No"/>
    <x v="1"/>
    <s v="No"/>
    <s v="No"/>
    <s v="No"/>
  </r>
  <r>
    <s v="13/07/2020 10:11:26"/>
    <s v="Female"/>
    <n v="24"/>
    <s v="Communication "/>
    <s v="year 2"/>
    <s v="3.50 - 4.00"/>
    <s v="Yes"/>
    <x v="0"/>
    <s v="Yes"/>
    <s v="Yes"/>
    <s v="No"/>
  </r>
  <r>
    <s v="13/07/2020 10:12:18"/>
    <s v="Female"/>
    <n v="24"/>
    <s v="Diploma Nursing"/>
    <s v="year 2"/>
    <s v="3.50 - 4.00"/>
    <s v="No"/>
    <x v="1"/>
    <s v="No"/>
    <s v="No"/>
    <s v="No"/>
  </r>
  <r>
    <s v="13/07/2020 10:12:26"/>
    <s v="Female"/>
    <n v="19"/>
    <s v="Engineering"/>
    <s v="year 1"/>
    <s v="3.00 - 3.49"/>
    <s v="No"/>
    <x v="0"/>
    <s v="Yes"/>
    <s v="No"/>
    <s v="No"/>
  </r>
  <r>
    <s v="13/07/2020 10:12:28"/>
    <s v="Female"/>
    <n v="19"/>
    <s v="Pendidikan Islam "/>
    <s v="year 2"/>
    <s v="3.00 - 3.49"/>
    <s v="No"/>
    <x v="1"/>
    <s v="No"/>
    <s v="No"/>
    <s v="No"/>
  </r>
  <r>
    <s v="13/07/2020 10:14:46"/>
    <s v="Male"/>
    <n v="23"/>
    <s v="Radiography"/>
    <s v="year 1"/>
    <s v="3.00 - 3.49"/>
    <s v="No"/>
    <x v="1"/>
    <s v="No"/>
    <s v="No"/>
    <s v="No"/>
  </r>
  <r>
    <s v="13/07/2020 10:33:47"/>
    <s v="Female"/>
    <n v="18"/>
    <s v="psychology"/>
    <s v="year 1"/>
    <s v="3.50 - 4.00"/>
    <s v="No"/>
    <x v="0"/>
    <s v="Yes"/>
    <s v="No"/>
    <s v="Yes"/>
  </r>
  <r>
    <s v="13/07/2020 10:34:08"/>
    <s v="Female"/>
    <n v="19"/>
    <s v="Fiqh fatwa "/>
    <s v="year 3"/>
    <s v="3.00 - 3.49"/>
    <s v="No"/>
    <x v="1"/>
    <s v="No"/>
    <s v="No"/>
    <s v="No"/>
  </r>
  <r>
    <s v="13/07/2020 11:46:13"/>
    <s v="Female"/>
    <n v="18"/>
    <s v="psychology"/>
    <s v="year 1"/>
    <s v="3.50 - 4.00"/>
    <s v="No"/>
    <x v="0"/>
    <s v="Yes"/>
    <s v="Yes"/>
    <s v="No"/>
  </r>
  <r>
    <s v="13/07/2020 11:49:02"/>
    <s v="Male"/>
    <n v="24"/>
    <s v="BIT"/>
    <s v="year 1"/>
    <s v="3.00 - 3.49"/>
    <s v="No"/>
    <x v="1"/>
    <s v="Yes"/>
    <s v="No"/>
    <s v="No"/>
  </r>
  <r>
    <s v="13/07/2020 11:54:58"/>
    <s v="Male"/>
    <n v="24"/>
    <s v="Engineering"/>
    <s v="year 2"/>
    <s v="2.00 - 2.49"/>
    <s v="No"/>
    <x v="1"/>
    <s v="No"/>
    <s v="Yes"/>
    <s v="No"/>
  </r>
  <r>
    <s v="13/07/2020 13:57:11"/>
    <s v="Female"/>
    <n v="23"/>
    <s v="DIPLOMA TESL"/>
    <s v="year 3"/>
    <s v="3.50 - 4.00"/>
    <s v="No"/>
    <x v="1"/>
    <s v="No"/>
    <s v="Yes"/>
    <s v="No"/>
  </r>
  <r>
    <s v="13/07/2020 14:38:12"/>
    <s v="Male"/>
    <n v="18"/>
    <s v="Koe"/>
    <s v="year 2"/>
    <s v="3.00 - 3.49"/>
    <s v="No"/>
    <x v="1"/>
    <s v="Yes"/>
    <s v="No"/>
    <s v="No"/>
  </r>
  <r>
    <s v="13/07/2020 14:48:05"/>
    <s v="Female"/>
    <n v="19"/>
    <s v="KOE"/>
    <s v="year 2"/>
    <s v="3.00 - 3.49"/>
    <s v="Yes"/>
    <x v="0"/>
    <s v="No"/>
    <s v="No"/>
    <s v="No"/>
  </r>
  <r>
    <s v="13/07/2020 16:15:13"/>
    <s v="Female"/>
    <n v="18"/>
    <s v="BENL"/>
    <s v="year 1"/>
    <s v="3.00 - 3.49"/>
    <s v="No"/>
    <x v="0"/>
    <s v="No"/>
    <s v="No"/>
    <s v="No"/>
  </r>
  <r>
    <s v="13/07/2020 17:30:44"/>
    <s v="Female"/>
    <n v="24"/>
    <s v="Fiqh"/>
    <s v="year 3"/>
    <s v="0 - 1.99"/>
    <s v="No"/>
    <x v="1"/>
    <s v="No"/>
    <s v="Yes"/>
    <s v="No"/>
  </r>
  <r>
    <s v="13/07/2020 19:08:32"/>
    <s v="Female"/>
    <n v="18"/>
    <s v="Islamic Education"/>
    <s v="year 1"/>
    <s v="3.50 - 4.00"/>
    <s v="No"/>
    <x v="1"/>
    <s v="No"/>
    <s v="No"/>
    <s v="No"/>
  </r>
  <r>
    <s v="13/07/2020 19:56:49"/>
    <s v="Female"/>
    <n v="21"/>
    <s v="BCS"/>
    <s v="year 1"/>
    <s v="3.50 - 4.00"/>
    <s v="No"/>
    <x v="1"/>
    <s v="Yes"/>
    <s v="No"/>
    <s v="No"/>
  </r>
  <r>
    <s v="13/07/2020 21:21:42"/>
    <s v="Male"/>
    <n v="18"/>
    <s v="Engineering"/>
    <s v="year 2"/>
    <s v="3.00 - 3.49"/>
    <s v="No"/>
    <x v="0"/>
    <s v="Yes"/>
    <s v="No"/>
    <s v="No"/>
  </r>
  <r>
    <s v="13/07/2020 21:22:56"/>
    <s v="Female"/>
    <n v="19"/>
    <s v="Nursing "/>
    <s v="year 3"/>
    <s v="3.50 - 4.00"/>
    <s v="Yes"/>
    <x v="0"/>
    <s v="No"/>
    <s v="Yes"/>
    <s v="No"/>
  </r>
  <r>
    <s v="13/07/2020 21:23:57"/>
    <s v="Female"/>
    <n v="23"/>
    <s v="Pendidikan Islam"/>
    <s v="year 4"/>
    <s v="3.50 - 4.00"/>
    <s v="No"/>
    <x v="1"/>
    <s v="No"/>
    <s v="No"/>
    <s v="No"/>
  </r>
  <r>
    <s v="18/07/2020 20:16:21"/>
    <s v="Male"/>
    <n v="20"/>
    <s v="Biomedical science"/>
    <s v="year 2"/>
    <s v="3.00 - 3.49"/>
    <s v="No"/>
    <x v="1"/>
    <s v="No"/>
    <s v="No"/>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A9E2B0-D56A-9245-9596-E644A77EFB3A}" name="PivotTable9"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4" firstHeaderRow="1" firstDataRow="1" firstDataCol="1"/>
  <pivotFields count="11">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s>
  <rowFields count="1">
    <field x="7"/>
  </rowFields>
  <rowItems count="3">
    <i>
      <x/>
    </i>
    <i>
      <x v="1"/>
    </i>
    <i t="grand">
      <x/>
    </i>
  </rowItems>
  <colItems count="1">
    <i/>
  </colItems>
  <dataFields count="1">
    <dataField name="Count of Do you have Depression?" fld="7"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80B968-5B27-F84D-83D2-B26D2F7F3819}" name="PivotTable1"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35" firstHeaderRow="1" firstDataRow="2" firstDataCol="1"/>
  <pivotFields count="11">
    <pivotField showAll="0"/>
    <pivotField showAll="0"/>
    <pivotField axis="axisRow" showAll="0" sortType="ascending">
      <items count="9">
        <item x="0"/>
        <item x="2"/>
        <item x="5"/>
        <item x="1"/>
        <item x="3"/>
        <item x="4"/>
        <item x="6"/>
        <item h="1" x="7"/>
        <item t="default"/>
      </items>
    </pivotField>
    <pivotField dataField="1" showAll="0"/>
    <pivotField axis="axisCol" showAll="0">
      <items count="5">
        <item x="0"/>
        <item x="1"/>
        <item x="2"/>
        <item x="3"/>
        <item t="default"/>
      </items>
    </pivotField>
    <pivotField axis="axisRow" showAll="0">
      <items count="7">
        <item x="5"/>
        <item x="4"/>
        <item x="3"/>
        <item x="0"/>
        <item x="1"/>
        <item x="2"/>
        <item t="default"/>
      </items>
    </pivotField>
    <pivotField showAll="0"/>
    <pivotField showAll="0"/>
    <pivotField showAll="0"/>
    <pivotField showAll="0"/>
    <pivotField showAll="0"/>
  </pivotFields>
  <rowFields count="2">
    <field x="2"/>
    <field x="5"/>
  </rowFields>
  <rowItems count="31">
    <i>
      <x/>
    </i>
    <i r="1">
      <x/>
    </i>
    <i r="1">
      <x v="1"/>
    </i>
    <i r="1">
      <x v="3"/>
    </i>
    <i r="1">
      <x v="4"/>
    </i>
    <i>
      <x v="1"/>
    </i>
    <i r="1">
      <x/>
    </i>
    <i r="1">
      <x v="2"/>
    </i>
    <i r="1">
      <x v="3"/>
    </i>
    <i r="1">
      <x v="4"/>
    </i>
    <i>
      <x v="2"/>
    </i>
    <i r="1">
      <x v="3"/>
    </i>
    <i r="1">
      <x v="4"/>
    </i>
    <i>
      <x v="3"/>
    </i>
    <i r="1">
      <x v="3"/>
    </i>
    <i r="1">
      <x v="4"/>
    </i>
    <i>
      <x v="4"/>
    </i>
    <i r="1">
      <x v="3"/>
    </i>
    <i r="1">
      <x v="4"/>
    </i>
    <i>
      <x v="5"/>
    </i>
    <i r="1">
      <x v="2"/>
    </i>
    <i r="1">
      <x v="3"/>
    </i>
    <i r="1">
      <x v="4"/>
    </i>
    <i r="1">
      <x v="5"/>
    </i>
    <i>
      <x v="6"/>
    </i>
    <i r="1">
      <x/>
    </i>
    <i r="1">
      <x v="1"/>
    </i>
    <i r="1">
      <x v="2"/>
    </i>
    <i r="1">
      <x v="3"/>
    </i>
    <i r="1">
      <x v="4"/>
    </i>
    <i t="grand">
      <x/>
    </i>
  </rowItems>
  <colFields count="1">
    <field x="4"/>
  </colFields>
  <colItems count="5">
    <i>
      <x/>
    </i>
    <i>
      <x v="1"/>
    </i>
    <i>
      <x v="2"/>
    </i>
    <i>
      <x v="3"/>
    </i>
    <i t="grand">
      <x/>
    </i>
  </colItems>
  <dataFields count="1">
    <dataField name="CGPA" fld="3" subtotal="count"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5BC8D1-BB2D-EF4F-9B3C-4EB7FBF4BE75}"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1" firstHeaderRow="0" firstDataRow="1" firstDataCol="1" rowPageCount="1" colPageCount="1"/>
  <pivotFields count="11">
    <pivotField showAll="0"/>
    <pivotField axis="axisRow" showAll="0">
      <items count="4">
        <item x="0"/>
        <item x="1"/>
        <item x="2"/>
        <item t="default"/>
      </items>
    </pivotField>
    <pivotField axis="axisRow" showAll="0">
      <items count="10">
        <item sd="0" x="0"/>
        <item sd="0" x="2"/>
        <item sd="0" x="5"/>
        <item sd="0" x="1"/>
        <item sd="0" x="3"/>
        <item sd="0" x="4"/>
        <item sd="0" x="6"/>
        <item h="1" x="7"/>
        <item h="1" x="8"/>
        <item t="default"/>
      </items>
    </pivotField>
    <pivotField showAll="0"/>
    <pivotField showAll="0"/>
    <pivotField showAll="0"/>
    <pivotField axis="axisPage" showAll="0">
      <items count="4">
        <item x="0"/>
        <item x="1"/>
        <item x="2"/>
        <item t="default"/>
      </items>
    </pivotField>
    <pivotField dataField="1" showAll="0"/>
    <pivotField dataField="1" showAll="0"/>
    <pivotField dataField="1" showAll="0"/>
    <pivotField showAll="0"/>
  </pivotFields>
  <rowFields count="2">
    <field x="2"/>
    <field x="1"/>
  </rowFields>
  <rowItems count="8">
    <i>
      <x/>
    </i>
    <i>
      <x v="1"/>
    </i>
    <i>
      <x v="2"/>
    </i>
    <i>
      <x v="3"/>
    </i>
    <i>
      <x v="4"/>
    </i>
    <i>
      <x v="5"/>
    </i>
    <i>
      <x v="6"/>
    </i>
    <i t="grand">
      <x/>
    </i>
  </rowItems>
  <colFields count="1">
    <field x="-2"/>
  </colFields>
  <colItems count="3">
    <i>
      <x/>
    </i>
    <i i="1">
      <x v="1"/>
    </i>
    <i i="2">
      <x v="2"/>
    </i>
  </colItems>
  <pageFields count="1">
    <pageField fld="6" hier="-1"/>
  </pageFields>
  <dataFields count="3">
    <dataField name="Depression" fld="7" subtotal="count" baseField="0" baseItem="0"/>
    <dataField name="Anxiety" fld="8" subtotal="count" baseField="0" baseItem="0"/>
    <dataField name="Panic attack" fld="9"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CF538C-F3DD-D746-8C5D-396B6EE8EFAA}" name="PivotTable1" cacheId="2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Сourse">
  <location ref="A3:D39" firstHeaderRow="0" firstDataRow="1" firstDataCol="1"/>
  <pivotFields count="11">
    <pivotField showAll="0"/>
    <pivotField showAll="0">
      <items count="4">
        <item x="0"/>
        <item x="1"/>
        <item x="2"/>
        <item t="default"/>
      </items>
    </pivotField>
    <pivotField showAll="0">
      <items count="10">
        <item x="0"/>
        <item x="2"/>
        <item x="5"/>
        <item x="1"/>
        <item x="3"/>
        <item x="4"/>
        <item x="6"/>
        <item x="7"/>
        <item x="8"/>
        <item t="default"/>
      </items>
    </pivotField>
    <pivotField name="Course" axis="axisRow" showAll="0" sortType="ascending">
      <items count="44">
        <item x="11"/>
        <item x="22"/>
        <item x="15"/>
        <item x="6"/>
        <item x="24"/>
        <item x="23"/>
        <item x="33"/>
        <item x="2"/>
        <item x="16"/>
        <item x="34"/>
        <item x="26"/>
        <item x="35"/>
        <item x="39"/>
        <item x="28"/>
        <item x="27"/>
        <item x="21"/>
        <item x="0"/>
        <item x="12"/>
        <item x="40"/>
        <item x="38"/>
        <item x="7"/>
        <item x="32"/>
        <item x="8"/>
        <item x="1"/>
        <item x="25"/>
        <item x="10"/>
        <item x="18"/>
        <item x="14"/>
        <item x="31"/>
        <item x="17"/>
        <item x="3"/>
        <item x="30"/>
        <item x="13"/>
        <item x="4"/>
        <item x="29"/>
        <item x="41"/>
        <item x="5"/>
        <item x="36"/>
        <item x="9"/>
        <item x="37"/>
        <item x="20"/>
        <item x="19"/>
        <item x="42"/>
        <item t="default"/>
      </items>
    </pivotField>
    <pivotField showAll="0"/>
    <pivotField showAll="0">
      <items count="8">
        <item x="5"/>
        <item x="4"/>
        <item x="3"/>
        <item x="0"/>
        <item x="1"/>
        <item x="2"/>
        <item x="6"/>
        <item t="default"/>
      </items>
    </pivotField>
    <pivotField showAll="0">
      <items count="4">
        <item x="0"/>
        <item h="1" x="1"/>
        <item h="1" x="2"/>
        <item t="default"/>
      </items>
    </pivotField>
    <pivotField dataField="1" showAll="0">
      <items count="4">
        <item x="1"/>
        <item x="0"/>
        <item x="2"/>
        <item t="default"/>
      </items>
    </pivotField>
    <pivotField dataField="1" showAll="0">
      <items count="4">
        <item x="0"/>
        <item x="1"/>
        <item x="2"/>
        <item t="default"/>
      </items>
    </pivotField>
    <pivotField dataField="1" showAll="0">
      <items count="4">
        <item x="1"/>
        <item x="0"/>
        <item x="2"/>
        <item t="default"/>
      </items>
    </pivotField>
    <pivotField showAll="0"/>
  </pivotFields>
  <rowFields count="1">
    <field x="3"/>
  </rowFields>
  <rowItems count="36">
    <i>
      <x/>
    </i>
    <i>
      <x v="2"/>
    </i>
    <i>
      <x v="3"/>
    </i>
    <i>
      <x v="4"/>
    </i>
    <i>
      <x v="5"/>
    </i>
    <i>
      <x v="6"/>
    </i>
    <i>
      <x v="7"/>
    </i>
    <i>
      <x v="8"/>
    </i>
    <i>
      <x v="10"/>
    </i>
    <i>
      <x v="11"/>
    </i>
    <i>
      <x v="12"/>
    </i>
    <i>
      <x v="13"/>
    </i>
    <i>
      <x v="14"/>
    </i>
    <i>
      <x v="15"/>
    </i>
    <i>
      <x v="16"/>
    </i>
    <i>
      <x v="18"/>
    </i>
    <i>
      <x v="19"/>
    </i>
    <i>
      <x v="20"/>
    </i>
    <i>
      <x v="21"/>
    </i>
    <i>
      <x v="22"/>
    </i>
    <i>
      <x v="23"/>
    </i>
    <i>
      <x v="24"/>
    </i>
    <i>
      <x v="25"/>
    </i>
    <i>
      <x v="26"/>
    </i>
    <i>
      <x v="27"/>
    </i>
    <i>
      <x v="28"/>
    </i>
    <i>
      <x v="29"/>
    </i>
    <i>
      <x v="30"/>
    </i>
    <i>
      <x v="31"/>
    </i>
    <i>
      <x v="33"/>
    </i>
    <i>
      <x v="36"/>
    </i>
    <i>
      <x v="37"/>
    </i>
    <i>
      <x v="38"/>
    </i>
    <i>
      <x v="39"/>
    </i>
    <i>
      <x v="40"/>
    </i>
    <i>
      <x v="41"/>
    </i>
  </rowItems>
  <colFields count="1">
    <field x="-2"/>
  </colFields>
  <colItems count="3">
    <i>
      <x/>
    </i>
    <i i="1">
      <x v="1"/>
    </i>
    <i i="2">
      <x v="2"/>
    </i>
  </colItems>
  <dataFields count="3">
    <dataField name="Panic attack" fld="9" subtotal="count" baseField="0" baseItem="0"/>
    <dataField name="Anxiety" fld="8" subtotal="count" baseField="0" baseItem="0"/>
    <dataField name="Depression" fld="7"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F52CBC7-B938-0247-AE5F-57DBE4C9520D}" autoFormatId="16" applyNumberFormats="0" applyBorderFormats="0" applyFontFormats="0" applyPatternFormats="0" applyAlignmentFormats="0" applyWidthHeightFormats="0">
  <queryTableRefresh nextId="12">
    <queryTableFields count="11">
      <queryTableField id="1" name="Timestamp" tableColumnId="1"/>
      <queryTableField id="2" name="Choose your gender" tableColumnId="2"/>
      <queryTableField id="3" name="Age" tableColumnId="3"/>
      <queryTableField id="4" name="What is your course?" tableColumnId="4"/>
      <queryTableField id="5" name="Your current year of Study" tableColumnId="5"/>
      <queryTableField id="6" name="What is your CGPA?" tableColumnId="6"/>
      <queryTableField id="7" name="Marital status" tableColumnId="7"/>
      <queryTableField id="8" name="Do you have Depression?" tableColumnId="8"/>
      <queryTableField id="9" name="Do you have Anxiety?" tableColumnId="9"/>
      <queryTableField id="10" name="Do you have Panic attack?" tableColumnId="10"/>
      <queryTableField id="11" name="Did you seek any specialist for a treatment?"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DF5E79F-31FF-C347-BA5E-3D182C905D26}" autoFormatId="16" applyNumberFormats="0" applyBorderFormats="0" applyFontFormats="0" applyPatternFormats="0" applyAlignmentFormats="0" applyWidthHeightFormats="0">
  <queryTableRefresh nextId="13" unboundColumnsRight="1">
    <queryTableFields count="11">
      <queryTableField id="2" name="Choose your gender" tableColumnId="2"/>
      <queryTableField id="3" name="Age" tableColumnId="3"/>
      <queryTableField id="4" name="What is your course?" tableColumnId="4"/>
      <queryTableField id="5" name="Your current year of Study" tableColumnId="5"/>
      <queryTableField id="6" name="What is your CGPA?" tableColumnId="6"/>
      <queryTableField id="7" name="Marital status" tableColumnId="7"/>
      <queryTableField id="8" name="Do you have Depression?" tableColumnId="8"/>
      <queryTableField id="9" name="Do you have Anxiety?" tableColumnId="9"/>
      <queryTableField id="10" name="Do you have Panic attack?" tableColumnId="10"/>
      <queryTableField id="11" name="Did you seek any specialist for a treatment?" tableColumnId="11"/>
      <queryTableField id="12" dataBound="0" tableColumnId="1"/>
    </queryTableFields>
    <queryTableDeletedFields count="1">
      <deletedField name="Timestamp"/>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702088C-B30A-374D-A17F-BF36AE447CCB}" sourceName="Marital status">
  <data>
    <tabular pivotCacheId="653749324">
      <items count="3">
        <i x="0"/>
        <i x="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8252674-A917-1A45-9CE7-AE65E11348EB}" sourceName="Age">
  <pivotTables>
    <pivotTable tabId="6" name="PivotTable1"/>
  </pivotTables>
  <data>
    <tabular pivotCacheId="653749324">
      <items count="9">
        <i x="0" s="1"/>
        <i x="2" s="1"/>
        <i x="5" s="1"/>
        <i x="1" s="1"/>
        <i x="3" s="1"/>
        <i x="4" s="1"/>
        <i x="6" s="1"/>
        <i x="7" s="1"/>
        <i x="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F1D5946A-CE77-6A43-B9D9-A9F25DC833F8}" sourceName="Marital status">
  <pivotTables>
    <pivotTable tabId="6" name="PivotTable1"/>
  </pivotTables>
  <data>
    <tabular pivotCacheId="653749324">
      <items count="3">
        <i x="0" s="1"/>
        <i x="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oose_your_gender" xr10:uid="{FDEB09B4-C902-6D48-9EAF-F5126DBED213}" sourceName="Choose your gender">
  <pivotTables>
    <pivotTable tabId="6" name="PivotTable1"/>
  </pivotTables>
  <data>
    <tabular pivotCacheId="653749324">
      <items count="3">
        <i x="0" s="1"/>
        <i x="1"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is_your_course?" xr10:uid="{C3B3FEFD-51E0-974D-9C2D-5E2387275D2E}" sourceName="What is your course?">
  <pivotTables>
    <pivotTable tabId="6" name="PivotTable1"/>
  </pivotTables>
  <data>
    <tabular pivotCacheId="653749324">
      <items count="43">
        <i x="11" s="1"/>
        <i x="15" s="1"/>
        <i x="6" s="1"/>
        <i x="24" s="1"/>
        <i x="23" s="1"/>
        <i x="33" s="1"/>
        <i x="2" s="1"/>
        <i x="16" s="1"/>
        <i x="26" s="1"/>
        <i x="35" s="1"/>
        <i x="39" s="1"/>
        <i x="28" s="1"/>
        <i x="27" s="1"/>
        <i x="21" s="1"/>
        <i x="0" s="1"/>
        <i x="40" s="1"/>
        <i x="38" s="1"/>
        <i x="7" s="1"/>
        <i x="32" s="1"/>
        <i x="8" s="1"/>
        <i x="1" s="1"/>
        <i x="25" s="1"/>
        <i x="10" s="1"/>
        <i x="18" s="1"/>
        <i x="14" s="1"/>
        <i x="31" s="1"/>
        <i x="17" s="1"/>
        <i x="3" s="1"/>
        <i x="30" s="1"/>
        <i x="4" s="1"/>
        <i x="5" s="1"/>
        <i x="36" s="1"/>
        <i x="9" s="1"/>
        <i x="37" s="1"/>
        <i x="20" s="1"/>
        <i x="19" s="1"/>
        <i x="22" s="1" nd="1"/>
        <i x="34" s="1" nd="1"/>
        <i x="12" s="1" nd="1"/>
        <i x="13" s="1" nd="1"/>
        <i x="29" s="1" nd="1"/>
        <i x="41" s="1" nd="1"/>
        <i x="4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D32B6DD-E00E-A24A-B8FF-CA9083F07A77}" cache="Slicer_Marital_status" caption="Marital status"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F9D61DD2-CBE3-9349-B2FC-8B52BA917D17}" cache="Slicer_Age" caption="Age" startItem="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A194DB87-6EC0-134B-AE9E-55F8188CEE58}" cache="Slicer_Age" caption="Age" rowHeight="251883"/>
  <slicer name="Marital status 2" xr10:uid="{DD418FA9-87D8-F443-8DBF-43FEBA8E8DD4}" cache="Slicer_Marital_status1" caption="Marital status" rowHeight="251883"/>
  <slicer name="Choose your gender 1" xr10:uid="{4E5227F9-14CB-0248-A6A6-84EEB64341F0}" cache="Slicer_Choose_your_gender" caption="Choose your gender" rowHeight="251883"/>
  <slicer name="Course 1" xr10:uid="{87FD07C3-3E5A-2A42-9773-19EE45EABA2E}" cache="Slicer_What_is_your_course?" caption="Course" startItem="6"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5792C9-669B-F549-ADDC-10AA8CD0291B}" name="Student_Mental_health" displayName="Student_Mental_health" ref="A1:K102" tableType="queryTable" totalsRowShown="0">
  <autoFilter ref="A1:K102" xr:uid="{725792C9-669B-F549-ADDC-10AA8CD0291B}"/>
  <tableColumns count="11">
    <tableColumn id="1" xr3:uid="{688244AA-8583-074E-AF13-46D94A1E0FD5}" uniqueName="1" name="Timestamp" queryTableFieldId="1" dataDxfId="12"/>
    <tableColumn id="2" xr3:uid="{29FA0BAE-5E54-984B-96AB-03340D6BB0E1}" uniqueName="2" name="Choose your gender" queryTableFieldId="2" dataDxfId="13"/>
    <tableColumn id="3" xr3:uid="{3DF517A7-EED5-E548-8BD8-A7A83AAD3DD9}" uniqueName="3" name="Age" queryTableFieldId="3"/>
    <tableColumn id="4" xr3:uid="{36991A0C-58FA-4648-A254-738FBE642190}" uniqueName="4" name="What is your course?" queryTableFieldId="4" dataDxfId="21"/>
    <tableColumn id="5" xr3:uid="{6E678AE4-43F2-4747-B0F5-6E26B980F15C}" uniqueName="5" name="Your current year of Study" queryTableFieldId="5" dataDxfId="20"/>
    <tableColumn id="6" xr3:uid="{4B7F31C8-4059-2A45-A17C-0021AA60EF1F}" uniqueName="6" name="What is your CGPA?" queryTableFieldId="6" dataDxfId="19"/>
    <tableColumn id="7" xr3:uid="{303548CF-81F0-EE4D-9B44-C00DEF7A39DC}" uniqueName="7" name="Marital status" queryTableFieldId="7" dataDxfId="18"/>
    <tableColumn id="8" xr3:uid="{59EA8B68-2FFC-CA4E-ACD0-6D464F9A1466}" uniqueName="8" name="Do you have Depression?" queryTableFieldId="8" dataDxfId="17"/>
    <tableColumn id="9" xr3:uid="{B719919B-57E3-9D43-8355-D1C249D573FD}" uniqueName="9" name="Do you have Anxiety?" queryTableFieldId="9" dataDxfId="16"/>
    <tableColumn id="10" xr3:uid="{7D2D152B-97BD-844C-89FB-B776267915AD}" uniqueName="10" name="Do you have Panic attack?" queryTableFieldId="10" dataDxfId="15"/>
    <tableColumn id="11" xr3:uid="{3856A90A-F85A-614D-A50A-1102EAA79056}" uniqueName="11" name="Did you seek any specialist for a treatment?" queryTableFieldId="11"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62A5C1-0C24-1848-8680-D2088E75C1F3}" name="Student_Mental_health3" displayName="Student_Mental_health3" ref="A1:K102" tableType="queryTable" totalsRowShown="0">
  <autoFilter ref="A1:K102" xr:uid="{5362A5C1-0C24-1848-8680-D2088E75C1F3}"/>
  <tableColumns count="11">
    <tableColumn id="2" xr3:uid="{D90440CA-7507-8242-8DDB-554EA88BD79A}" uniqueName="2" name="Gender" queryTableFieldId="2" dataDxfId="11"/>
    <tableColumn id="3" xr3:uid="{A25BDF7D-5F72-B444-919E-4AFB33242EAF}" uniqueName="3" name="Age" queryTableFieldId="3"/>
    <tableColumn id="4" xr3:uid="{7221BB2D-D8D6-6747-A44D-D345688B9153}" uniqueName="4" name="Course" queryTableFieldId="4" dataDxfId="10"/>
    <tableColumn id="5" xr3:uid="{133924A8-EA3B-704F-A846-87DD4BDEBADB}" uniqueName="5" name="Year of Study" queryTableFieldId="5" dataDxfId="9"/>
    <tableColumn id="6" xr3:uid="{6C43E037-DFFD-AD4E-ADA7-BFD36B0F18C9}" uniqueName="6" name="CGPA?" queryTableFieldId="6" dataDxfId="8"/>
    <tableColumn id="7" xr3:uid="{14213CB5-D29B-2B41-88EB-AB19426D88DB}" uniqueName="7" name="Marital status" queryTableFieldId="7" dataDxfId="7"/>
    <tableColumn id="8" xr3:uid="{8CB64C4C-EAAD-484D-B42F-F48A8CEEBAD4}" uniqueName="8" name="Depression?" queryTableFieldId="8" dataDxfId="6"/>
    <tableColumn id="9" xr3:uid="{DCC07FC6-415C-0B48-AB9E-3B750D0D5C89}" uniqueName="9" name="Anxiety?" queryTableFieldId="9" dataDxfId="5"/>
    <tableColumn id="10" xr3:uid="{81110277-76EC-9341-A7AA-0385A45EBC99}" uniqueName="10" name="Panic attack?" queryTableFieldId="10" dataDxfId="4"/>
    <tableColumn id="11" xr3:uid="{D0CED203-A8EE-1645-A627-3DCAD629BCA4}" uniqueName="11" name="Did you seek a treatment?" queryTableFieldId="11" dataDxfId="3"/>
    <tableColumn id="1" xr3:uid="{3F965A49-9E11-A545-AF9A-0578C16B53A3}" uniqueName="1" name="Mental health" queryTableFieldId="12" dataDxfId="2">
      <calculatedColumnFormula>IF(OR(G2="Yes", H2="Yes", I2="Yes"), "Problem", "No")</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0B550-6AC9-404E-A23C-C3CDD696BCB0}">
  <sheetPr>
    <tabColor theme="9"/>
  </sheetPr>
  <dimension ref="A1:K102"/>
  <sheetViews>
    <sheetView topLeftCell="A64" workbookViewId="0">
      <selection activeCell="K27" sqref="K27"/>
    </sheetView>
  </sheetViews>
  <sheetFormatPr baseColWidth="10" defaultRowHeight="16" x14ac:dyDescent="0.2"/>
  <cols>
    <col min="1" max="1" width="18.5" style="1" bestFit="1" customWidth="1"/>
    <col min="2" max="2" width="20" bestFit="1" customWidth="1"/>
    <col min="3" max="3" width="6.83203125" bestFit="1" customWidth="1"/>
    <col min="4" max="4" width="21.1640625" bestFit="1" customWidth="1"/>
    <col min="5" max="5" width="25.5" bestFit="1" customWidth="1"/>
    <col min="6" max="6" width="20.33203125" bestFit="1" customWidth="1"/>
    <col min="7" max="7" width="15.1640625" bestFit="1" customWidth="1"/>
    <col min="8" max="8" width="25" bestFit="1" customWidth="1"/>
    <col min="9" max="9" width="22" bestFit="1" customWidth="1"/>
    <col min="10" max="10" width="25.83203125" bestFit="1" customWidth="1"/>
    <col min="11" max="11" width="41" bestFit="1" customWidth="1"/>
  </cols>
  <sheetData>
    <row r="1" spans="1:11" x14ac:dyDescent="0.2">
      <c r="A1" s="1" t="s">
        <v>0</v>
      </c>
      <c r="B1" t="s">
        <v>183</v>
      </c>
      <c r="C1" t="s">
        <v>1</v>
      </c>
      <c r="D1" t="s">
        <v>2</v>
      </c>
      <c r="E1" t="s">
        <v>184</v>
      </c>
      <c r="F1" t="s">
        <v>185</v>
      </c>
      <c r="G1" t="s">
        <v>3</v>
      </c>
      <c r="H1" t="s">
        <v>186</v>
      </c>
      <c r="I1" t="s">
        <v>187</v>
      </c>
      <c r="J1" t="s">
        <v>188</v>
      </c>
      <c r="K1" t="s">
        <v>189</v>
      </c>
    </row>
    <row r="2" spans="1:11" x14ac:dyDescent="0.2">
      <c r="A2" s="1" t="s">
        <v>4</v>
      </c>
      <c r="B2" t="s">
        <v>5</v>
      </c>
      <c r="C2">
        <v>18</v>
      </c>
      <c r="D2" t="s">
        <v>6</v>
      </c>
      <c r="E2" t="s">
        <v>190</v>
      </c>
      <c r="F2" t="s">
        <v>7</v>
      </c>
      <c r="G2" t="s">
        <v>8</v>
      </c>
      <c r="H2" t="s">
        <v>9</v>
      </c>
      <c r="I2" t="s">
        <v>8</v>
      </c>
      <c r="J2" t="s">
        <v>9</v>
      </c>
      <c r="K2" t="s">
        <v>8</v>
      </c>
    </row>
    <row r="3" spans="1:11" x14ac:dyDescent="0.2">
      <c r="A3" s="1" t="s">
        <v>10</v>
      </c>
      <c r="B3" t="s">
        <v>11</v>
      </c>
      <c r="C3">
        <v>21</v>
      </c>
      <c r="D3" t="s">
        <v>12</v>
      </c>
      <c r="E3" t="s">
        <v>191</v>
      </c>
      <c r="F3" t="s">
        <v>7</v>
      </c>
      <c r="G3" t="s">
        <v>8</v>
      </c>
      <c r="H3" t="s">
        <v>8</v>
      </c>
      <c r="I3" t="s">
        <v>9</v>
      </c>
      <c r="J3" t="s">
        <v>8</v>
      </c>
      <c r="K3" t="s">
        <v>8</v>
      </c>
    </row>
    <row r="4" spans="1:11" x14ac:dyDescent="0.2">
      <c r="A4" s="1" t="s">
        <v>13</v>
      </c>
      <c r="B4" t="s">
        <v>11</v>
      </c>
      <c r="C4">
        <v>19</v>
      </c>
      <c r="D4" t="s">
        <v>14</v>
      </c>
      <c r="E4" t="s">
        <v>192</v>
      </c>
      <c r="F4" t="s">
        <v>7</v>
      </c>
      <c r="G4" t="s">
        <v>8</v>
      </c>
      <c r="H4" t="s">
        <v>9</v>
      </c>
      <c r="I4" t="s">
        <v>9</v>
      </c>
      <c r="J4" t="s">
        <v>9</v>
      </c>
      <c r="K4" t="s">
        <v>8</v>
      </c>
    </row>
    <row r="5" spans="1:11" x14ac:dyDescent="0.2">
      <c r="A5" s="1" t="s">
        <v>15</v>
      </c>
      <c r="B5" t="s">
        <v>5</v>
      </c>
      <c r="C5">
        <v>22</v>
      </c>
      <c r="D5" t="s">
        <v>16</v>
      </c>
      <c r="E5" t="s">
        <v>193</v>
      </c>
      <c r="F5" t="s">
        <v>7</v>
      </c>
      <c r="G5" t="s">
        <v>9</v>
      </c>
      <c r="H5" t="s">
        <v>9</v>
      </c>
      <c r="I5" t="s">
        <v>8</v>
      </c>
      <c r="J5" t="s">
        <v>8</v>
      </c>
      <c r="K5" t="s">
        <v>8</v>
      </c>
    </row>
    <row r="6" spans="1:11" x14ac:dyDescent="0.2">
      <c r="A6" s="1" t="s">
        <v>17</v>
      </c>
      <c r="B6" t="s">
        <v>11</v>
      </c>
      <c r="C6">
        <v>23</v>
      </c>
      <c r="D6" t="s">
        <v>18</v>
      </c>
      <c r="E6" t="s">
        <v>194</v>
      </c>
      <c r="F6" t="s">
        <v>7</v>
      </c>
      <c r="G6" t="s">
        <v>8</v>
      </c>
      <c r="H6" t="s">
        <v>8</v>
      </c>
      <c r="I6" t="s">
        <v>8</v>
      </c>
      <c r="J6" t="s">
        <v>8</v>
      </c>
      <c r="K6" t="s">
        <v>8</v>
      </c>
    </row>
    <row r="7" spans="1:11" x14ac:dyDescent="0.2">
      <c r="A7" s="1" t="s">
        <v>19</v>
      </c>
      <c r="B7" t="s">
        <v>11</v>
      </c>
      <c r="C7">
        <v>19</v>
      </c>
      <c r="D7" t="s">
        <v>6</v>
      </c>
      <c r="E7" t="s">
        <v>195</v>
      </c>
      <c r="F7" t="s">
        <v>20</v>
      </c>
      <c r="G7" t="s">
        <v>8</v>
      </c>
      <c r="H7" t="s">
        <v>8</v>
      </c>
      <c r="I7" t="s">
        <v>8</v>
      </c>
      <c r="J7" t="s">
        <v>9</v>
      </c>
      <c r="K7" t="s">
        <v>8</v>
      </c>
    </row>
    <row r="8" spans="1:11" x14ac:dyDescent="0.2">
      <c r="A8" s="1" t="s">
        <v>21</v>
      </c>
      <c r="B8" t="s">
        <v>5</v>
      </c>
      <c r="C8">
        <v>23</v>
      </c>
      <c r="D8" t="s">
        <v>22</v>
      </c>
      <c r="E8" t="s">
        <v>191</v>
      </c>
      <c r="F8" t="s">
        <v>23</v>
      </c>
      <c r="G8" t="s">
        <v>9</v>
      </c>
      <c r="H8" t="s">
        <v>9</v>
      </c>
      <c r="I8" t="s">
        <v>8</v>
      </c>
      <c r="J8" t="s">
        <v>9</v>
      </c>
      <c r="K8" t="s">
        <v>8</v>
      </c>
    </row>
    <row r="9" spans="1:11" x14ac:dyDescent="0.2">
      <c r="A9" s="1" t="s">
        <v>24</v>
      </c>
      <c r="B9" t="s">
        <v>5</v>
      </c>
      <c r="C9">
        <v>18</v>
      </c>
      <c r="D9" t="s">
        <v>25</v>
      </c>
      <c r="E9" t="s">
        <v>190</v>
      </c>
      <c r="F9" t="s">
        <v>20</v>
      </c>
      <c r="G9" t="s">
        <v>8</v>
      </c>
      <c r="H9" t="s">
        <v>8</v>
      </c>
      <c r="I9" t="s">
        <v>9</v>
      </c>
      <c r="J9" t="s">
        <v>8</v>
      </c>
      <c r="K9" t="s">
        <v>8</v>
      </c>
    </row>
    <row r="10" spans="1:11" x14ac:dyDescent="0.2">
      <c r="A10" s="1" t="s">
        <v>26</v>
      </c>
      <c r="B10" t="s">
        <v>5</v>
      </c>
      <c r="C10">
        <v>19</v>
      </c>
      <c r="D10" t="s">
        <v>27</v>
      </c>
      <c r="E10" t="s">
        <v>195</v>
      </c>
      <c r="F10" t="s">
        <v>28</v>
      </c>
      <c r="G10" t="s">
        <v>8</v>
      </c>
      <c r="H10" t="s">
        <v>8</v>
      </c>
      <c r="I10" t="s">
        <v>8</v>
      </c>
      <c r="J10" t="s">
        <v>8</v>
      </c>
      <c r="K10" t="s">
        <v>8</v>
      </c>
    </row>
    <row r="11" spans="1:11" x14ac:dyDescent="0.2">
      <c r="A11" s="1" t="s">
        <v>29</v>
      </c>
      <c r="B11" t="s">
        <v>11</v>
      </c>
      <c r="C11">
        <v>18</v>
      </c>
      <c r="D11" t="s">
        <v>30</v>
      </c>
      <c r="E11" t="s">
        <v>190</v>
      </c>
      <c r="F11" t="s">
        <v>20</v>
      </c>
      <c r="G11" t="s">
        <v>8</v>
      </c>
      <c r="H11" t="s">
        <v>8</v>
      </c>
      <c r="I11" t="s">
        <v>9</v>
      </c>
      <c r="J11" t="s">
        <v>9</v>
      </c>
      <c r="K11" t="s">
        <v>8</v>
      </c>
    </row>
    <row r="12" spans="1:11" x14ac:dyDescent="0.2">
      <c r="A12" s="1" t="s">
        <v>29</v>
      </c>
      <c r="B12" t="s">
        <v>5</v>
      </c>
      <c r="C12">
        <v>20</v>
      </c>
      <c r="D12" t="s">
        <v>31</v>
      </c>
      <c r="E12" t="s">
        <v>190</v>
      </c>
      <c r="F12" t="s">
        <v>20</v>
      </c>
      <c r="G12" t="s">
        <v>8</v>
      </c>
      <c r="H12" t="s">
        <v>8</v>
      </c>
      <c r="I12" t="s">
        <v>8</v>
      </c>
      <c r="J12" t="s">
        <v>8</v>
      </c>
      <c r="K12" t="s">
        <v>8</v>
      </c>
    </row>
    <row r="13" spans="1:11" x14ac:dyDescent="0.2">
      <c r="A13" s="1" t="s">
        <v>29</v>
      </c>
      <c r="B13" t="s">
        <v>5</v>
      </c>
      <c r="C13">
        <v>24</v>
      </c>
      <c r="D13" t="s">
        <v>6</v>
      </c>
      <c r="E13" t="s">
        <v>196</v>
      </c>
      <c r="F13" t="s">
        <v>20</v>
      </c>
      <c r="G13" t="s">
        <v>9</v>
      </c>
      <c r="H13" t="s">
        <v>9</v>
      </c>
      <c r="I13" t="s">
        <v>8</v>
      </c>
      <c r="J13" t="s">
        <v>8</v>
      </c>
      <c r="K13" t="s">
        <v>8</v>
      </c>
    </row>
    <row r="14" spans="1:11" x14ac:dyDescent="0.2">
      <c r="A14" s="1" t="s">
        <v>32</v>
      </c>
      <c r="B14" t="s">
        <v>5</v>
      </c>
      <c r="C14">
        <v>18</v>
      </c>
      <c r="D14" t="s">
        <v>25</v>
      </c>
      <c r="E14" t="s">
        <v>190</v>
      </c>
      <c r="F14" t="s">
        <v>7</v>
      </c>
      <c r="G14" t="s">
        <v>8</v>
      </c>
      <c r="H14" t="s">
        <v>9</v>
      </c>
      <c r="I14" t="s">
        <v>8</v>
      </c>
      <c r="J14" t="s">
        <v>8</v>
      </c>
      <c r="K14" t="s">
        <v>8</v>
      </c>
    </row>
    <row r="15" spans="1:11" x14ac:dyDescent="0.2">
      <c r="A15" s="1" t="s">
        <v>33</v>
      </c>
      <c r="B15" t="s">
        <v>11</v>
      </c>
      <c r="C15">
        <v>19</v>
      </c>
      <c r="D15" t="s">
        <v>6</v>
      </c>
      <c r="E15" t="s">
        <v>190</v>
      </c>
      <c r="F15" t="s">
        <v>7</v>
      </c>
      <c r="G15" t="s">
        <v>8</v>
      </c>
      <c r="H15" t="s">
        <v>8</v>
      </c>
      <c r="I15" t="s">
        <v>8</v>
      </c>
      <c r="J15" t="s">
        <v>8</v>
      </c>
      <c r="K15" t="s">
        <v>8</v>
      </c>
    </row>
    <row r="16" spans="1:11" x14ac:dyDescent="0.2">
      <c r="A16" s="1" t="s">
        <v>34</v>
      </c>
      <c r="B16" t="s">
        <v>5</v>
      </c>
      <c r="C16">
        <v>18</v>
      </c>
      <c r="D16" t="s">
        <v>35</v>
      </c>
      <c r="E16" t="s">
        <v>195</v>
      </c>
      <c r="F16" t="s">
        <v>20</v>
      </c>
      <c r="G16" t="s">
        <v>8</v>
      </c>
      <c r="H16" t="s">
        <v>8</v>
      </c>
      <c r="I16" t="s">
        <v>9</v>
      </c>
      <c r="J16" t="s">
        <v>8</v>
      </c>
      <c r="K16" t="s">
        <v>8</v>
      </c>
    </row>
    <row r="17" spans="1:11" x14ac:dyDescent="0.2">
      <c r="A17" s="1" t="s">
        <v>34</v>
      </c>
      <c r="B17" t="s">
        <v>11</v>
      </c>
      <c r="C17">
        <v>24</v>
      </c>
      <c r="D17" t="s">
        <v>25</v>
      </c>
      <c r="E17" t="s">
        <v>196</v>
      </c>
      <c r="F17" t="s">
        <v>20</v>
      </c>
      <c r="G17" t="s">
        <v>8</v>
      </c>
      <c r="H17" t="s">
        <v>8</v>
      </c>
      <c r="I17" t="s">
        <v>8</v>
      </c>
      <c r="J17" t="s">
        <v>8</v>
      </c>
      <c r="K17" t="s">
        <v>8</v>
      </c>
    </row>
    <row r="18" spans="1:11" x14ac:dyDescent="0.2">
      <c r="A18" s="1" t="s">
        <v>36</v>
      </c>
      <c r="B18" t="s">
        <v>5</v>
      </c>
      <c r="C18">
        <v>24</v>
      </c>
      <c r="D18" t="s">
        <v>37</v>
      </c>
      <c r="E18" t="s">
        <v>193</v>
      </c>
      <c r="F18" t="s">
        <v>7</v>
      </c>
      <c r="G18" t="s">
        <v>8</v>
      </c>
      <c r="H18" t="s">
        <v>8</v>
      </c>
      <c r="I18" t="s">
        <v>8</v>
      </c>
      <c r="J18" t="s">
        <v>8</v>
      </c>
      <c r="K18" t="s">
        <v>8</v>
      </c>
    </row>
    <row r="19" spans="1:11" x14ac:dyDescent="0.2">
      <c r="A19" s="1" t="s">
        <v>38</v>
      </c>
      <c r="B19" t="s">
        <v>5</v>
      </c>
      <c r="C19">
        <v>24</v>
      </c>
      <c r="D19" t="s">
        <v>39</v>
      </c>
      <c r="E19" t="s">
        <v>194</v>
      </c>
      <c r="F19" t="s">
        <v>7</v>
      </c>
      <c r="G19" t="s">
        <v>9</v>
      </c>
      <c r="H19" t="s">
        <v>9</v>
      </c>
      <c r="I19" t="s">
        <v>9</v>
      </c>
      <c r="J19" t="s">
        <v>9</v>
      </c>
      <c r="K19" t="s">
        <v>8</v>
      </c>
    </row>
    <row r="20" spans="1:11" x14ac:dyDescent="0.2">
      <c r="A20" s="1" t="s">
        <v>40</v>
      </c>
      <c r="B20" t="s">
        <v>5</v>
      </c>
      <c r="C20">
        <v>20</v>
      </c>
      <c r="D20" t="s">
        <v>14</v>
      </c>
      <c r="E20" t="s">
        <v>195</v>
      </c>
      <c r="F20" t="s">
        <v>20</v>
      </c>
      <c r="G20" t="s">
        <v>8</v>
      </c>
      <c r="H20" t="s">
        <v>8</v>
      </c>
      <c r="I20" t="s">
        <v>9</v>
      </c>
      <c r="J20" t="s">
        <v>8</v>
      </c>
      <c r="K20" t="s">
        <v>8</v>
      </c>
    </row>
    <row r="21" spans="1:11" x14ac:dyDescent="0.2">
      <c r="A21" s="1" t="s">
        <v>41</v>
      </c>
      <c r="B21" t="s">
        <v>5</v>
      </c>
      <c r="C21">
        <v>18</v>
      </c>
      <c r="D21" t="s">
        <v>42</v>
      </c>
      <c r="E21" t="s">
        <v>191</v>
      </c>
      <c r="F21" t="s">
        <v>20</v>
      </c>
      <c r="G21" t="s">
        <v>9</v>
      </c>
      <c r="H21" t="s">
        <v>9</v>
      </c>
      <c r="I21" t="s">
        <v>9</v>
      </c>
      <c r="J21" t="s">
        <v>9</v>
      </c>
      <c r="K21" t="s">
        <v>8</v>
      </c>
    </row>
    <row r="22" spans="1:11" x14ac:dyDescent="0.2">
      <c r="A22" s="1" t="s">
        <v>43</v>
      </c>
      <c r="B22" t="s">
        <v>5</v>
      </c>
      <c r="C22">
        <v>19</v>
      </c>
      <c r="D22" t="s">
        <v>6</v>
      </c>
      <c r="E22" t="s">
        <v>190</v>
      </c>
      <c r="F22" t="s">
        <v>7</v>
      </c>
      <c r="G22" t="s">
        <v>8</v>
      </c>
      <c r="H22" t="s">
        <v>8</v>
      </c>
      <c r="I22" t="s">
        <v>8</v>
      </c>
      <c r="J22" t="s">
        <v>9</v>
      </c>
      <c r="K22" t="s">
        <v>8</v>
      </c>
    </row>
    <row r="23" spans="1:11" x14ac:dyDescent="0.2">
      <c r="A23" s="1" t="s">
        <v>44</v>
      </c>
      <c r="B23" t="s">
        <v>5</v>
      </c>
      <c r="C23">
        <v>18</v>
      </c>
      <c r="D23" t="s">
        <v>45</v>
      </c>
      <c r="E23" t="s">
        <v>195</v>
      </c>
      <c r="F23" t="s">
        <v>7</v>
      </c>
      <c r="G23" t="s">
        <v>8</v>
      </c>
      <c r="H23" t="s">
        <v>8</v>
      </c>
      <c r="I23" t="s">
        <v>8</v>
      </c>
      <c r="J23" t="s">
        <v>8</v>
      </c>
      <c r="K23" t="s">
        <v>8</v>
      </c>
    </row>
    <row r="24" spans="1:11" x14ac:dyDescent="0.2">
      <c r="A24" s="1" t="s">
        <v>44</v>
      </c>
      <c r="B24" t="s">
        <v>5</v>
      </c>
      <c r="C24">
        <v>24</v>
      </c>
      <c r="D24" t="s">
        <v>25</v>
      </c>
      <c r="E24" t="s">
        <v>190</v>
      </c>
      <c r="F24" t="s">
        <v>20</v>
      </c>
      <c r="G24" t="s">
        <v>8</v>
      </c>
      <c r="H24" t="s">
        <v>8</v>
      </c>
      <c r="I24" t="s">
        <v>8</v>
      </c>
      <c r="J24" t="s">
        <v>8</v>
      </c>
      <c r="K24" t="s">
        <v>8</v>
      </c>
    </row>
    <row r="25" spans="1:11" x14ac:dyDescent="0.2">
      <c r="A25" s="1" t="s">
        <v>46</v>
      </c>
      <c r="B25" t="s">
        <v>5</v>
      </c>
      <c r="C25">
        <v>24</v>
      </c>
      <c r="D25" t="s">
        <v>6</v>
      </c>
      <c r="E25" t="s">
        <v>190</v>
      </c>
      <c r="F25" t="s">
        <v>7</v>
      </c>
      <c r="G25" t="s">
        <v>8</v>
      </c>
      <c r="H25" t="s">
        <v>8</v>
      </c>
      <c r="I25" t="s">
        <v>8</v>
      </c>
      <c r="J25" t="s">
        <v>8</v>
      </c>
      <c r="K25" t="s">
        <v>8</v>
      </c>
    </row>
    <row r="26" spans="1:11" x14ac:dyDescent="0.2">
      <c r="A26" s="1" t="s">
        <v>47</v>
      </c>
      <c r="B26" t="s">
        <v>5</v>
      </c>
      <c r="C26">
        <v>23</v>
      </c>
      <c r="D26" t="s">
        <v>25</v>
      </c>
      <c r="E26" t="s">
        <v>196</v>
      </c>
      <c r="F26" t="s">
        <v>20</v>
      </c>
      <c r="G26" t="s">
        <v>8</v>
      </c>
      <c r="H26" t="s">
        <v>9</v>
      </c>
      <c r="I26" t="s">
        <v>9</v>
      </c>
      <c r="J26" t="s">
        <v>9</v>
      </c>
      <c r="K26" t="s">
        <v>8</v>
      </c>
    </row>
    <row r="27" spans="1:11" x14ac:dyDescent="0.2">
      <c r="A27" s="1" t="s">
        <v>48</v>
      </c>
      <c r="B27" t="s">
        <v>5</v>
      </c>
      <c r="C27">
        <v>18</v>
      </c>
      <c r="D27" t="s">
        <v>49</v>
      </c>
      <c r="E27" t="s">
        <v>190</v>
      </c>
      <c r="F27" t="s">
        <v>20</v>
      </c>
      <c r="G27" t="s">
        <v>8</v>
      </c>
      <c r="H27" t="s">
        <v>8</v>
      </c>
      <c r="I27" t="s">
        <v>8</v>
      </c>
      <c r="J27" t="s">
        <v>8</v>
      </c>
      <c r="K27" t="s">
        <v>8</v>
      </c>
    </row>
    <row r="28" spans="1:11" x14ac:dyDescent="0.2">
      <c r="A28" s="1" t="s">
        <v>50</v>
      </c>
      <c r="B28" t="s">
        <v>5</v>
      </c>
      <c r="C28">
        <v>19</v>
      </c>
      <c r="D28" t="s">
        <v>6</v>
      </c>
      <c r="E28" t="s">
        <v>190</v>
      </c>
      <c r="F28" t="s">
        <v>20</v>
      </c>
      <c r="G28" t="s">
        <v>8</v>
      </c>
      <c r="H28" t="s">
        <v>8</v>
      </c>
      <c r="I28" t="s">
        <v>8</v>
      </c>
      <c r="J28" t="s">
        <v>8</v>
      </c>
      <c r="K28" t="s">
        <v>8</v>
      </c>
    </row>
    <row r="29" spans="1:11" x14ac:dyDescent="0.2">
      <c r="A29" s="1" t="s">
        <v>51</v>
      </c>
      <c r="B29" t="s">
        <v>11</v>
      </c>
      <c r="C29">
        <v>18</v>
      </c>
      <c r="D29" t="s">
        <v>6</v>
      </c>
      <c r="E29" t="s">
        <v>195</v>
      </c>
      <c r="F29" t="s">
        <v>7</v>
      </c>
      <c r="G29" t="s">
        <v>9</v>
      </c>
      <c r="H29" t="s">
        <v>9</v>
      </c>
      <c r="I29" t="s">
        <v>9</v>
      </c>
      <c r="J29" t="s">
        <v>8</v>
      </c>
      <c r="K29" t="s">
        <v>8</v>
      </c>
    </row>
    <row r="30" spans="1:11" x14ac:dyDescent="0.2">
      <c r="A30" s="1" t="s">
        <v>52</v>
      </c>
      <c r="B30" t="s">
        <v>5</v>
      </c>
      <c r="C30">
        <v>24</v>
      </c>
      <c r="D30" t="s">
        <v>14</v>
      </c>
      <c r="E30" t="s">
        <v>196</v>
      </c>
      <c r="F30" t="s">
        <v>20</v>
      </c>
      <c r="G30" t="s">
        <v>9</v>
      </c>
      <c r="H30" t="s">
        <v>9</v>
      </c>
      <c r="I30" t="s">
        <v>9</v>
      </c>
      <c r="J30" t="s">
        <v>9</v>
      </c>
      <c r="K30" t="s">
        <v>9</v>
      </c>
    </row>
    <row r="31" spans="1:11" x14ac:dyDescent="0.2">
      <c r="A31" s="1" t="s">
        <v>53</v>
      </c>
      <c r="B31" t="s">
        <v>5</v>
      </c>
      <c r="C31">
        <v>24</v>
      </c>
      <c r="D31" t="s">
        <v>25</v>
      </c>
      <c r="E31" t="s">
        <v>194</v>
      </c>
      <c r="F31" t="s">
        <v>20</v>
      </c>
      <c r="G31" t="s">
        <v>8</v>
      </c>
      <c r="H31" t="s">
        <v>8</v>
      </c>
      <c r="I31" t="s">
        <v>8</v>
      </c>
      <c r="J31" t="s">
        <v>8</v>
      </c>
      <c r="K31" t="s">
        <v>8</v>
      </c>
    </row>
    <row r="32" spans="1:11" x14ac:dyDescent="0.2">
      <c r="A32" s="1" t="s">
        <v>54</v>
      </c>
      <c r="B32" t="s">
        <v>5</v>
      </c>
      <c r="C32">
        <v>23</v>
      </c>
      <c r="D32" t="s">
        <v>55</v>
      </c>
      <c r="E32" t="s">
        <v>195</v>
      </c>
      <c r="F32" t="s">
        <v>7</v>
      </c>
      <c r="G32" t="s">
        <v>8</v>
      </c>
      <c r="H32" t="s">
        <v>8</v>
      </c>
      <c r="I32" t="s">
        <v>8</v>
      </c>
      <c r="J32" t="s">
        <v>8</v>
      </c>
      <c r="K32" t="s">
        <v>8</v>
      </c>
    </row>
    <row r="33" spans="1:11" x14ac:dyDescent="0.2">
      <c r="A33" s="1" t="s">
        <v>56</v>
      </c>
      <c r="B33" t="s">
        <v>11</v>
      </c>
      <c r="C33">
        <v>18</v>
      </c>
      <c r="D33" t="s">
        <v>25</v>
      </c>
      <c r="E33" t="s">
        <v>191</v>
      </c>
      <c r="F33" t="s">
        <v>7</v>
      </c>
      <c r="G33" t="s">
        <v>8</v>
      </c>
      <c r="H33" t="s">
        <v>8</v>
      </c>
      <c r="I33" t="s">
        <v>8</v>
      </c>
      <c r="J33" t="s">
        <v>8</v>
      </c>
      <c r="K33" t="s">
        <v>8</v>
      </c>
    </row>
    <row r="34" spans="1:11" x14ac:dyDescent="0.2">
      <c r="A34" s="1" t="s">
        <v>56</v>
      </c>
      <c r="B34" t="s">
        <v>11</v>
      </c>
      <c r="C34">
        <v>19</v>
      </c>
      <c r="D34" t="s">
        <v>25</v>
      </c>
      <c r="E34" t="s">
        <v>190</v>
      </c>
      <c r="F34" t="s">
        <v>20</v>
      </c>
      <c r="G34" t="s">
        <v>8</v>
      </c>
      <c r="H34" t="s">
        <v>8</v>
      </c>
      <c r="I34" t="s">
        <v>8</v>
      </c>
      <c r="J34" t="s">
        <v>9</v>
      </c>
      <c r="K34" t="s">
        <v>8</v>
      </c>
    </row>
    <row r="35" spans="1:11" x14ac:dyDescent="0.2">
      <c r="A35" s="1" t="s">
        <v>57</v>
      </c>
      <c r="B35" t="s">
        <v>11</v>
      </c>
      <c r="C35">
        <v>18</v>
      </c>
      <c r="D35" t="s">
        <v>25</v>
      </c>
      <c r="E35" t="s">
        <v>195</v>
      </c>
      <c r="F35" t="s">
        <v>20</v>
      </c>
      <c r="G35" t="s">
        <v>9</v>
      </c>
      <c r="H35" t="s">
        <v>9</v>
      </c>
      <c r="I35" t="s">
        <v>9</v>
      </c>
      <c r="J35" t="s">
        <v>8</v>
      </c>
      <c r="K35" t="s">
        <v>9</v>
      </c>
    </row>
    <row r="36" spans="1:11" x14ac:dyDescent="0.2">
      <c r="A36" s="1" t="s">
        <v>58</v>
      </c>
      <c r="B36" t="s">
        <v>5</v>
      </c>
      <c r="C36">
        <v>19</v>
      </c>
      <c r="D36" t="s">
        <v>14</v>
      </c>
      <c r="E36" t="s">
        <v>190</v>
      </c>
      <c r="F36" t="s">
        <v>7</v>
      </c>
      <c r="G36" t="s">
        <v>8</v>
      </c>
      <c r="H36" t="s">
        <v>9</v>
      </c>
      <c r="I36" t="s">
        <v>9</v>
      </c>
      <c r="J36" t="s">
        <v>9</v>
      </c>
      <c r="K36" t="s">
        <v>8</v>
      </c>
    </row>
    <row r="37" spans="1:11" x14ac:dyDescent="0.2">
      <c r="A37" s="1" t="s">
        <v>59</v>
      </c>
      <c r="B37" t="s">
        <v>5</v>
      </c>
      <c r="C37">
        <v>18</v>
      </c>
      <c r="D37" t="s">
        <v>6</v>
      </c>
      <c r="E37" t="s">
        <v>190</v>
      </c>
      <c r="F37" t="s">
        <v>60</v>
      </c>
      <c r="G37" t="s">
        <v>8</v>
      </c>
      <c r="H37" t="s">
        <v>8</v>
      </c>
      <c r="I37" t="s">
        <v>8</v>
      </c>
      <c r="J37" t="s">
        <v>8</v>
      </c>
      <c r="K37" t="s">
        <v>8</v>
      </c>
    </row>
    <row r="38" spans="1:11" x14ac:dyDescent="0.2">
      <c r="A38" s="1" t="s">
        <v>59</v>
      </c>
      <c r="B38" t="s">
        <v>5</v>
      </c>
      <c r="C38">
        <v>18</v>
      </c>
      <c r="D38" t="s">
        <v>61</v>
      </c>
      <c r="E38" t="s">
        <v>196</v>
      </c>
      <c r="F38" t="s">
        <v>7</v>
      </c>
      <c r="G38" t="s">
        <v>8</v>
      </c>
      <c r="H38" t="s">
        <v>9</v>
      </c>
      <c r="I38" t="s">
        <v>9</v>
      </c>
      <c r="J38" t="s">
        <v>8</v>
      </c>
      <c r="K38" t="s">
        <v>8</v>
      </c>
    </row>
    <row r="39" spans="1:11" x14ac:dyDescent="0.2">
      <c r="A39" s="1" t="s">
        <v>62</v>
      </c>
      <c r="B39" t="s">
        <v>5</v>
      </c>
      <c r="C39">
        <v>19</v>
      </c>
      <c r="D39" t="s">
        <v>14</v>
      </c>
      <c r="E39" t="s">
        <v>190</v>
      </c>
      <c r="F39" t="s">
        <v>28</v>
      </c>
      <c r="G39" t="s">
        <v>8</v>
      </c>
      <c r="H39" t="s">
        <v>9</v>
      </c>
      <c r="I39" t="s">
        <v>9</v>
      </c>
      <c r="J39" t="s">
        <v>9</v>
      </c>
      <c r="K39" t="s">
        <v>8</v>
      </c>
    </row>
    <row r="40" spans="1:11" x14ac:dyDescent="0.2">
      <c r="A40" s="1" t="s">
        <v>63</v>
      </c>
      <c r="B40" t="s">
        <v>5</v>
      </c>
      <c r="C40">
        <v>18</v>
      </c>
      <c r="D40" t="s">
        <v>64</v>
      </c>
      <c r="E40" t="s">
        <v>190</v>
      </c>
      <c r="F40" t="s">
        <v>20</v>
      </c>
      <c r="G40" t="s">
        <v>8</v>
      </c>
      <c r="H40" t="s">
        <v>8</v>
      </c>
      <c r="I40" t="s">
        <v>8</v>
      </c>
      <c r="J40" t="s">
        <v>8</v>
      </c>
      <c r="K40" t="s">
        <v>8</v>
      </c>
    </row>
    <row r="41" spans="1:11" x14ac:dyDescent="0.2">
      <c r="A41" s="1" t="s">
        <v>65</v>
      </c>
      <c r="B41" t="s">
        <v>5</v>
      </c>
      <c r="C41">
        <v>24</v>
      </c>
      <c r="D41" t="s">
        <v>6</v>
      </c>
      <c r="E41" t="s">
        <v>195</v>
      </c>
      <c r="F41" t="s">
        <v>28</v>
      </c>
      <c r="G41" t="s">
        <v>9</v>
      </c>
      <c r="H41" t="s">
        <v>9</v>
      </c>
      <c r="I41" t="s">
        <v>8</v>
      </c>
      <c r="J41" t="s">
        <v>9</v>
      </c>
      <c r="K41" t="s">
        <v>9</v>
      </c>
    </row>
    <row r="42" spans="1:11" x14ac:dyDescent="0.2">
      <c r="A42" s="1" t="s">
        <v>66</v>
      </c>
      <c r="B42" t="s">
        <v>5</v>
      </c>
      <c r="C42">
        <v>24</v>
      </c>
      <c r="D42" t="s">
        <v>14</v>
      </c>
      <c r="E42" t="s">
        <v>196</v>
      </c>
      <c r="F42" t="s">
        <v>7</v>
      </c>
      <c r="G42" t="s">
        <v>8</v>
      </c>
      <c r="H42" t="s">
        <v>8</v>
      </c>
      <c r="I42" t="s">
        <v>9</v>
      </c>
      <c r="J42" t="s">
        <v>8</v>
      </c>
      <c r="K42" t="s">
        <v>8</v>
      </c>
    </row>
    <row r="43" spans="1:11" x14ac:dyDescent="0.2">
      <c r="A43" s="1" t="s">
        <v>66</v>
      </c>
      <c r="B43" t="s">
        <v>5</v>
      </c>
      <c r="C43">
        <v>22</v>
      </c>
      <c r="D43" t="s">
        <v>6</v>
      </c>
      <c r="E43" t="s">
        <v>194</v>
      </c>
      <c r="F43" t="s">
        <v>20</v>
      </c>
      <c r="G43" t="s">
        <v>8</v>
      </c>
      <c r="H43" t="s">
        <v>8</v>
      </c>
      <c r="I43" t="s">
        <v>8</v>
      </c>
      <c r="J43" t="s">
        <v>8</v>
      </c>
      <c r="K43" t="s">
        <v>8</v>
      </c>
    </row>
    <row r="44" spans="1:11" x14ac:dyDescent="0.2">
      <c r="A44" s="1" t="s">
        <v>67</v>
      </c>
      <c r="B44" t="s">
        <v>5</v>
      </c>
      <c r="C44">
        <v>20</v>
      </c>
      <c r="D44" t="s">
        <v>68</v>
      </c>
      <c r="E44" t="s">
        <v>191</v>
      </c>
      <c r="F44" t="s">
        <v>7</v>
      </c>
      <c r="G44" t="s">
        <v>8</v>
      </c>
      <c r="H44" t="s">
        <v>9</v>
      </c>
      <c r="I44" t="s">
        <v>8</v>
      </c>
      <c r="J44" t="s">
        <v>8</v>
      </c>
      <c r="K44" t="s">
        <v>8</v>
      </c>
    </row>
    <row r="45" spans="1:11" x14ac:dyDescent="0.2">
      <c r="A45" s="1" t="s">
        <v>69</v>
      </c>
      <c r="B45" t="s">
        <v>11</v>
      </c>
      <c r="D45" t="s">
        <v>14</v>
      </c>
      <c r="E45" t="s">
        <v>190</v>
      </c>
      <c r="F45" t="s">
        <v>70</v>
      </c>
      <c r="G45" t="s">
        <v>8</v>
      </c>
      <c r="H45" t="s">
        <v>8</v>
      </c>
      <c r="I45" t="s">
        <v>8</v>
      </c>
      <c r="J45" t="s">
        <v>8</v>
      </c>
      <c r="K45" t="s">
        <v>8</v>
      </c>
    </row>
    <row r="46" spans="1:11" x14ac:dyDescent="0.2">
      <c r="A46" s="1" t="s">
        <v>71</v>
      </c>
      <c r="B46" t="s">
        <v>11</v>
      </c>
      <c r="C46">
        <v>23</v>
      </c>
      <c r="D46" t="s">
        <v>72</v>
      </c>
      <c r="E46" t="s">
        <v>191</v>
      </c>
      <c r="F46" t="s">
        <v>20</v>
      </c>
      <c r="G46" t="s">
        <v>8</v>
      </c>
      <c r="H46" t="s">
        <v>8</v>
      </c>
      <c r="I46" t="s">
        <v>8</v>
      </c>
      <c r="J46" t="s">
        <v>9</v>
      </c>
      <c r="K46" t="s">
        <v>8</v>
      </c>
    </row>
    <row r="47" spans="1:11" x14ac:dyDescent="0.2">
      <c r="A47" s="1" t="s">
        <v>73</v>
      </c>
      <c r="B47" t="s">
        <v>11</v>
      </c>
      <c r="C47">
        <v>18</v>
      </c>
      <c r="D47" t="s">
        <v>25</v>
      </c>
      <c r="E47" t="s">
        <v>190</v>
      </c>
      <c r="F47" t="s">
        <v>20</v>
      </c>
      <c r="G47" t="s">
        <v>8</v>
      </c>
      <c r="H47" t="s">
        <v>8</v>
      </c>
      <c r="I47" t="s">
        <v>9</v>
      </c>
      <c r="J47" t="s">
        <v>9</v>
      </c>
      <c r="K47" t="s">
        <v>8</v>
      </c>
    </row>
    <row r="48" spans="1:11" x14ac:dyDescent="0.2">
      <c r="A48" s="1" t="s">
        <v>74</v>
      </c>
      <c r="B48" t="s">
        <v>5</v>
      </c>
      <c r="C48">
        <v>19</v>
      </c>
      <c r="D48" t="s">
        <v>6</v>
      </c>
      <c r="E48" t="s">
        <v>190</v>
      </c>
      <c r="F48" t="s">
        <v>20</v>
      </c>
      <c r="G48" t="s">
        <v>8</v>
      </c>
      <c r="H48" t="s">
        <v>8</v>
      </c>
      <c r="I48" t="s">
        <v>9</v>
      </c>
      <c r="J48" t="s">
        <v>8</v>
      </c>
      <c r="K48" t="s">
        <v>8</v>
      </c>
    </row>
    <row r="49" spans="1:11" x14ac:dyDescent="0.2">
      <c r="A49" s="1" t="s">
        <v>75</v>
      </c>
      <c r="B49" t="s">
        <v>5</v>
      </c>
      <c r="C49">
        <v>18</v>
      </c>
      <c r="D49" t="s">
        <v>76</v>
      </c>
      <c r="E49" t="s">
        <v>194</v>
      </c>
      <c r="F49" t="s">
        <v>20</v>
      </c>
      <c r="G49" t="s">
        <v>8</v>
      </c>
      <c r="H49" t="s">
        <v>8</v>
      </c>
      <c r="I49" t="s">
        <v>8</v>
      </c>
      <c r="J49" t="s">
        <v>8</v>
      </c>
      <c r="K49" t="s">
        <v>8</v>
      </c>
    </row>
    <row r="50" spans="1:11" x14ac:dyDescent="0.2">
      <c r="A50" s="1" t="s">
        <v>75</v>
      </c>
      <c r="B50" t="s">
        <v>11</v>
      </c>
      <c r="C50">
        <v>24</v>
      </c>
      <c r="D50" t="s">
        <v>25</v>
      </c>
      <c r="E50" t="s">
        <v>191</v>
      </c>
      <c r="F50" t="s">
        <v>7</v>
      </c>
      <c r="G50" t="s">
        <v>8</v>
      </c>
      <c r="H50" t="s">
        <v>9</v>
      </c>
      <c r="I50" t="s">
        <v>8</v>
      </c>
      <c r="J50" t="s">
        <v>8</v>
      </c>
      <c r="K50" t="s">
        <v>8</v>
      </c>
    </row>
    <row r="51" spans="1:11" x14ac:dyDescent="0.2">
      <c r="A51" s="1" t="s">
        <v>77</v>
      </c>
      <c r="B51" t="s">
        <v>5</v>
      </c>
      <c r="C51">
        <v>24</v>
      </c>
      <c r="D51" t="s">
        <v>25</v>
      </c>
      <c r="E51" t="s">
        <v>193</v>
      </c>
      <c r="F51" t="s">
        <v>20</v>
      </c>
      <c r="G51" t="s">
        <v>8</v>
      </c>
      <c r="H51" t="s">
        <v>8</v>
      </c>
      <c r="I51" t="s">
        <v>8</v>
      </c>
      <c r="J51" t="s">
        <v>9</v>
      </c>
      <c r="K51" t="s">
        <v>8</v>
      </c>
    </row>
    <row r="52" spans="1:11" x14ac:dyDescent="0.2">
      <c r="A52" s="1" t="s">
        <v>78</v>
      </c>
      <c r="B52" t="s">
        <v>5</v>
      </c>
      <c r="C52">
        <v>23</v>
      </c>
      <c r="D52" t="s">
        <v>79</v>
      </c>
      <c r="E52" t="s">
        <v>190</v>
      </c>
      <c r="F52" t="s">
        <v>28</v>
      </c>
      <c r="G52" t="s">
        <v>9</v>
      </c>
      <c r="H52" t="s">
        <v>9</v>
      </c>
      <c r="I52" t="s">
        <v>8</v>
      </c>
      <c r="J52" t="s">
        <v>9</v>
      </c>
      <c r="K52" t="s">
        <v>9</v>
      </c>
    </row>
    <row r="53" spans="1:11" x14ac:dyDescent="0.2">
      <c r="A53" s="1" t="s">
        <v>80</v>
      </c>
      <c r="B53" t="s">
        <v>5</v>
      </c>
      <c r="C53">
        <v>18</v>
      </c>
      <c r="D53" t="s">
        <v>25</v>
      </c>
      <c r="E53" t="s">
        <v>191</v>
      </c>
      <c r="F53" t="s">
        <v>20</v>
      </c>
      <c r="G53" t="s">
        <v>8</v>
      </c>
      <c r="H53" t="s">
        <v>8</v>
      </c>
      <c r="I53" t="s">
        <v>9</v>
      </c>
      <c r="J53" t="s">
        <v>8</v>
      </c>
      <c r="K53" t="s">
        <v>8</v>
      </c>
    </row>
    <row r="54" spans="1:11" x14ac:dyDescent="0.2">
      <c r="A54" s="1" t="s">
        <v>81</v>
      </c>
      <c r="B54" t="s">
        <v>5</v>
      </c>
      <c r="C54">
        <v>19</v>
      </c>
      <c r="D54" t="s">
        <v>82</v>
      </c>
      <c r="E54" t="s">
        <v>193</v>
      </c>
      <c r="F54" t="s">
        <v>7</v>
      </c>
      <c r="G54" t="s">
        <v>8</v>
      </c>
      <c r="H54" t="s">
        <v>8</v>
      </c>
      <c r="I54" t="s">
        <v>8</v>
      </c>
      <c r="J54" t="s">
        <v>8</v>
      </c>
      <c r="K54" t="s">
        <v>8</v>
      </c>
    </row>
    <row r="55" spans="1:11" x14ac:dyDescent="0.2">
      <c r="A55" s="1" t="s">
        <v>83</v>
      </c>
      <c r="B55" t="s">
        <v>5</v>
      </c>
      <c r="C55">
        <v>20</v>
      </c>
      <c r="D55" t="s">
        <v>84</v>
      </c>
      <c r="E55" t="s">
        <v>193</v>
      </c>
      <c r="F55" t="s">
        <v>7</v>
      </c>
      <c r="G55" t="s">
        <v>9</v>
      </c>
      <c r="H55" t="s">
        <v>9</v>
      </c>
      <c r="I55" t="s">
        <v>9</v>
      </c>
      <c r="J55" t="s">
        <v>9</v>
      </c>
      <c r="K55" t="s">
        <v>8</v>
      </c>
    </row>
    <row r="56" spans="1:11" x14ac:dyDescent="0.2">
      <c r="A56" s="1" t="s">
        <v>85</v>
      </c>
      <c r="B56" t="s">
        <v>5</v>
      </c>
      <c r="C56">
        <v>19</v>
      </c>
      <c r="D56" t="s">
        <v>25</v>
      </c>
      <c r="E56" t="s">
        <v>190</v>
      </c>
      <c r="F56" t="s">
        <v>20</v>
      </c>
      <c r="G56" t="s">
        <v>8</v>
      </c>
      <c r="H56" t="s">
        <v>9</v>
      </c>
      <c r="I56" t="s">
        <v>8</v>
      </c>
      <c r="J56" t="s">
        <v>9</v>
      </c>
      <c r="K56" t="s">
        <v>9</v>
      </c>
    </row>
    <row r="57" spans="1:11" x14ac:dyDescent="0.2">
      <c r="A57" s="1" t="s">
        <v>86</v>
      </c>
      <c r="B57" t="s">
        <v>11</v>
      </c>
      <c r="C57">
        <v>21</v>
      </c>
      <c r="D57" t="s">
        <v>25</v>
      </c>
      <c r="E57" t="s">
        <v>190</v>
      </c>
      <c r="F57" t="s">
        <v>7</v>
      </c>
      <c r="G57" t="s">
        <v>8</v>
      </c>
      <c r="H57" t="s">
        <v>8</v>
      </c>
      <c r="I57" t="s">
        <v>8</v>
      </c>
      <c r="J57" t="s">
        <v>8</v>
      </c>
      <c r="K57" t="s">
        <v>8</v>
      </c>
    </row>
    <row r="58" spans="1:11" x14ac:dyDescent="0.2">
      <c r="A58" s="1" t="s">
        <v>87</v>
      </c>
      <c r="B58" t="s">
        <v>11</v>
      </c>
      <c r="C58">
        <v>23</v>
      </c>
      <c r="D58" t="s">
        <v>88</v>
      </c>
      <c r="E58" t="s">
        <v>196</v>
      </c>
      <c r="F58" t="s">
        <v>20</v>
      </c>
      <c r="G58" t="s">
        <v>8</v>
      </c>
      <c r="H58" t="s">
        <v>8</v>
      </c>
      <c r="I58" t="s">
        <v>8</v>
      </c>
      <c r="J58" t="s">
        <v>8</v>
      </c>
      <c r="K58" t="s">
        <v>8</v>
      </c>
    </row>
    <row r="59" spans="1:11" x14ac:dyDescent="0.2">
      <c r="A59" s="1" t="s">
        <v>89</v>
      </c>
      <c r="B59" t="s">
        <v>5</v>
      </c>
      <c r="C59">
        <v>20</v>
      </c>
      <c r="D59" t="s">
        <v>90</v>
      </c>
      <c r="E59" t="s">
        <v>196</v>
      </c>
      <c r="F59" t="s">
        <v>7</v>
      </c>
      <c r="G59" t="s">
        <v>8</v>
      </c>
      <c r="H59" t="s">
        <v>9</v>
      </c>
      <c r="I59" t="s">
        <v>9</v>
      </c>
      <c r="J59" t="s">
        <v>8</v>
      </c>
      <c r="K59" t="s">
        <v>8</v>
      </c>
    </row>
    <row r="60" spans="1:11" x14ac:dyDescent="0.2">
      <c r="A60" s="1" t="s">
        <v>91</v>
      </c>
      <c r="B60" t="s">
        <v>5</v>
      </c>
      <c r="C60">
        <v>18</v>
      </c>
      <c r="D60" t="s">
        <v>25</v>
      </c>
      <c r="E60" t="s">
        <v>190</v>
      </c>
      <c r="F60" t="s">
        <v>20</v>
      </c>
      <c r="G60" t="s">
        <v>8</v>
      </c>
      <c r="H60" t="s">
        <v>8</v>
      </c>
      <c r="I60" t="s">
        <v>8</v>
      </c>
      <c r="J60" t="s">
        <v>8</v>
      </c>
      <c r="K60" t="s">
        <v>8</v>
      </c>
    </row>
    <row r="61" spans="1:11" x14ac:dyDescent="0.2">
      <c r="A61" s="1" t="s">
        <v>92</v>
      </c>
      <c r="B61" t="s">
        <v>5</v>
      </c>
      <c r="C61">
        <v>23</v>
      </c>
      <c r="D61" t="s">
        <v>93</v>
      </c>
      <c r="E61" t="s">
        <v>190</v>
      </c>
      <c r="F61" t="s">
        <v>7</v>
      </c>
      <c r="G61" t="s">
        <v>8</v>
      </c>
      <c r="H61" t="s">
        <v>8</v>
      </c>
      <c r="I61" t="s">
        <v>8</v>
      </c>
      <c r="J61" t="s">
        <v>8</v>
      </c>
      <c r="K61" t="s">
        <v>8</v>
      </c>
    </row>
    <row r="62" spans="1:11" x14ac:dyDescent="0.2">
      <c r="A62" s="1" t="s">
        <v>92</v>
      </c>
      <c r="B62" t="s">
        <v>5</v>
      </c>
      <c r="C62">
        <v>18</v>
      </c>
      <c r="D62" t="s">
        <v>94</v>
      </c>
      <c r="E62" t="s">
        <v>196</v>
      </c>
      <c r="F62" t="s">
        <v>7</v>
      </c>
      <c r="G62" t="s">
        <v>8</v>
      </c>
      <c r="H62" t="s">
        <v>8</v>
      </c>
      <c r="I62" t="s">
        <v>8</v>
      </c>
      <c r="J62" t="s">
        <v>9</v>
      </c>
      <c r="K62" t="s">
        <v>8</v>
      </c>
    </row>
    <row r="63" spans="1:11" x14ac:dyDescent="0.2">
      <c r="A63" s="1" t="s">
        <v>95</v>
      </c>
      <c r="B63" t="s">
        <v>5</v>
      </c>
      <c r="C63">
        <v>19</v>
      </c>
      <c r="D63" t="s">
        <v>25</v>
      </c>
      <c r="E63" t="s">
        <v>190</v>
      </c>
      <c r="F63" t="s">
        <v>20</v>
      </c>
      <c r="G63" t="s">
        <v>8</v>
      </c>
      <c r="H63" t="s">
        <v>8</v>
      </c>
      <c r="I63" t="s">
        <v>8</v>
      </c>
      <c r="J63" t="s">
        <v>8</v>
      </c>
      <c r="K63" t="s">
        <v>8</v>
      </c>
    </row>
    <row r="64" spans="1:11" x14ac:dyDescent="0.2">
      <c r="A64" s="1" t="s">
        <v>96</v>
      </c>
      <c r="B64" t="s">
        <v>5</v>
      </c>
      <c r="C64">
        <v>18</v>
      </c>
      <c r="D64" t="s">
        <v>97</v>
      </c>
      <c r="E64" t="s">
        <v>192</v>
      </c>
      <c r="F64" t="s">
        <v>20</v>
      </c>
      <c r="G64" t="s">
        <v>8</v>
      </c>
      <c r="H64" t="s">
        <v>8</v>
      </c>
      <c r="I64" t="s">
        <v>8</v>
      </c>
      <c r="J64" t="s">
        <v>9</v>
      </c>
      <c r="K64" t="s">
        <v>8</v>
      </c>
    </row>
    <row r="65" spans="1:11" x14ac:dyDescent="0.2">
      <c r="A65" s="1" t="s">
        <v>98</v>
      </c>
      <c r="B65" t="s">
        <v>5</v>
      </c>
      <c r="C65">
        <v>24</v>
      </c>
      <c r="D65" t="s">
        <v>99</v>
      </c>
      <c r="E65" t="s">
        <v>190</v>
      </c>
      <c r="F65" t="s">
        <v>20</v>
      </c>
      <c r="G65" t="s">
        <v>8</v>
      </c>
      <c r="H65" t="s">
        <v>8</v>
      </c>
      <c r="I65" t="s">
        <v>8</v>
      </c>
      <c r="J65" t="s">
        <v>9</v>
      </c>
      <c r="K65" t="s">
        <v>8</v>
      </c>
    </row>
    <row r="66" spans="1:11" x14ac:dyDescent="0.2">
      <c r="A66" s="1" t="s">
        <v>100</v>
      </c>
      <c r="B66" t="s">
        <v>5</v>
      </c>
      <c r="C66">
        <v>24</v>
      </c>
      <c r="D66" t="s">
        <v>76</v>
      </c>
      <c r="E66" t="s">
        <v>190</v>
      </c>
      <c r="F66" t="s">
        <v>20</v>
      </c>
      <c r="G66" t="s">
        <v>8</v>
      </c>
      <c r="H66" t="s">
        <v>8</v>
      </c>
      <c r="I66" t="s">
        <v>8</v>
      </c>
      <c r="J66" t="s">
        <v>8</v>
      </c>
      <c r="K66" t="s">
        <v>8</v>
      </c>
    </row>
    <row r="67" spans="1:11" x14ac:dyDescent="0.2">
      <c r="A67" s="1" t="s">
        <v>101</v>
      </c>
      <c r="B67" t="s">
        <v>5</v>
      </c>
      <c r="C67">
        <v>23</v>
      </c>
      <c r="D67" t="s">
        <v>102</v>
      </c>
      <c r="E67" t="s">
        <v>190</v>
      </c>
      <c r="F67" t="s">
        <v>20</v>
      </c>
      <c r="G67" t="s">
        <v>8</v>
      </c>
      <c r="H67" t="s">
        <v>9</v>
      </c>
      <c r="I67" t="s">
        <v>9</v>
      </c>
      <c r="J67" t="s">
        <v>8</v>
      </c>
      <c r="K67" t="s">
        <v>8</v>
      </c>
    </row>
    <row r="68" spans="1:11" x14ac:dyDescent="0.2">
      <c r="A68" s="1" t="s">
        <v>103</v>
      </c>
      <c r="B68" t="s">
        <v>5</v>
      </c>
      <c r="C68">
        <v>18</v>
      </c>
      <c r="D68" t="s">
        <v>45</v>
      </c>
      <c r="E68" t="s">
        <v>196</v>
      </c>
      <c r="F68" t="s">
        <v>7</v>
      </c>
      <c r="G68" t="s">
        <v>8</v>
      </c>
      <c r="H68" t="s">
        <v>8</v>
      </c>
      <c r="I68" t="s">
        <v>9</v>
      </c>
      <c r="J68" t="s">
        <v>8</v>
      </c>
      <c r="K68" t="s">
        <v>8</v>
      </c>
    </row>
    <row r="69" spans="1:11" x14ac:dyDescent="0.2">
      <c r="A69" s="1" t="s">
        <v>104</v>
      </c>
      <c r="B69" t="s">
        <v>11</v>
      </c>
      <c r="C69">
        <v>19</v>
      </c>
      <c r="D69" t="s">
        <v>105</v>
      </c>
      <c r="E69" t="s">
        <v>196</v>
      </c>
      <c r="F69" t="s">
        <v>7</v>
      </c>
      <c r="G69" t="s">
        <v>9</v>
      </c>
      <c r="H69" t="s">
        <v>9</v>
      </c>
      <c r="I69" t="s">
        <v>8</v>
      </c>
      <c r="J69" t="s">
        <v>9</v>
      </c>
      <c r="K69" t="s">
        <v>8</v>
      </c>
    </row>
    <row r="70" spans="1:11" x14ac:dyDescent="0.2">
      <c r="A70" s="1" t="s">
        <v>106</v>
      </c>
      <c r="B70" t="s">
        <v>5</v>
      </c>
      <c r="C70">
        <v>18</v>
      </c>
      <c r="D70" t="s">
        <v>107</v>
      </c>
      <c r="E70" t="s">
        <v>190</v>
      </c>
      <c r="F70" t="s">
        <v>20</v>
      </c>
      <c r="G70" t="s">
        <v>8</v>
      </c>
      <c r="H70" t="s">
        <v>9</v>
      </c>
      <c r="I70" t="s">
        <v>8</v>
      </c>
      <c r="J70" t="s">
        <v>8</v>
      </c>
      <c r="K70" t="s">
        <v>8</v>
      </c>
    </row>
    <row r="71" spans="1:11" x14ac:dyDescent="0.2">
      <c r="A71" s="1" t="s">
        <v>108</v>
      </c>
      <c r="B71" t="s">
        <v>5</v>
      </c>
      <c r="C71">
        <v>24</v>
      </c>
      <c r="D71" t="s">
        <v>109</v>
      </c>
      <c r="E71" t="s">
        <v>194</v>
      </c>
      <c r="F71" t="s">
        <v>7</v>
      </c>
      <c r="G71" t="s">
        <v>8</v>
      </c>
      <c r="H71" t="s">
        <v>8</v>
      </c>
      <c r="I71" t="s">
        <v>9</v>
      </c>
      <c r="J71" t="s">
        <v>8</v>
      </c>
      <c r="K71" t="s">
        <v>8</v>
      </c>
    </row>
    <row r="72" spans="1:11" x14ac:dyDescent="0.2">
      <c r="A72" s="1" t="s">
        <v>110</v>
      </c>
      <c r="B72" t="s">
        <v>5</v>
      </c>
      <c r="C72">
        <v>24</v>
      </c>
      <c r="D72" t="s">
        <v>82</v>
      </c>
      <c r="E72" t="s">
        <v>190</v>
      </c>
      <c r="F72" t="s">
        <v>7</v>
      </c>
      <c r="G72" t="s">
        <v>8</v>
      </c>
      <c r="H72" t="s">
        <v>8</v>
      </c>
      <c r="I72" t="s">
        <v>8</v>
      </c>
      <c r="J72" t="s">
        <v>8</v>
      </c>
      <c r="K72" t="s">
        <v>8</v>
      </c>
    </row>
    <row r="73" spans="1:11" x14ac:dyDescent="0.2">
      <c r="A73" s="1" t="s">
        <v>111</v>
      </c>
      <c r="B73" t="s">
        <v>5</v>
      </c>
      <c r="C73">
        <v>18</v>
      </c>
      <c r="D73" t="s">
        <v>16</v>
      </c>
      <c r="E73" t="s">
        <v>196</v>
      </c>
      <c r="F73" t="s">
        <v>20</v>
      </c>
      <c r="G73" t="s">
        <v>8</v>
      </c>
      <c r="H73" t="s">
        <v>8</v>
      </c>
      <c r="I73" t="s">
        <v>8</v>
      </c>
      <c r="J73" t="s">
        <v>9</v>
      </c>
      <c r="K73" t="s">
        <v>8</v>
      </c>
    </row>
    <row r="74" spans="1:11" x14ac:dyDescent="0.2">
      <c r="A74" s="1" t="s">
        <v>112</v>
      </c>
      <c r="B74" t="s">
        <v>5</v>
      </c>
      <c r="C74">
        <v>19</v>
      </c>
      <c r="D74" t="s">
        <v>14</v>
      </c>
      <c r="E74" t="s">
        <v>196</v>
      </c>
      <c r="F74" t="s">
        <v>7</v>
      </c>
      <c r="G74" t="s">
        <v>9</v>
      </c>
      <c r="H74" t="s">
        <v>9</v>
      </c>
      <c r="I74" t="s">
        <v>8</v>
      </c>
      <c r="J74" t="s">
        <v>8</v>
      </c>
      <c r="K74" t="s">
        <v>8</v>
      </c>
    </row>
    <row r="75" spans="1:11" x14ac:dyDescent="0.2">
      <c r="A75" s="1" t="s">
        <v>113</v>
      </c>
      <c r="B75" t="s">
        <v>11</v>
      </c>
      <c r="C75">
        <v>18</v>
      </c>
      <c r="D75" t="s">
        <v>82</v>
      </c>
      <c r="E75" t="s">
        <v>190</v>
      </c>
      <c r="F75" t="s">
        <v>70</v>
      </c>
      <c r="G75" t="s">
        <v>8</v>
      </c>
      <c r="H75" t="s">
        <v>8</v>
      </c>
      <c r="I75" t="s">
        <v>8</v>
      </c>
      <c r="J75" t="s">
        <v>8</v>
      </c>
      <c r="K75" t="s">
        <v>8</v>
      </c>
    </row>
    <row r="76" spans="1:11" x14ac:dyDescent="0.2">
      <c r="A76" s="1" t="s">
        <v>114</v>
      </c>
      <c r="B76" t="s">
        <v>11</v>
      </c>
      <c r="C76">
        <v>24</v>
      </c>
      <c r="D76" t="s">
        <v>14</v>
      </c>
      <c r="E76" t="s">
        <v>196</v>
      </c>
      <c r="F76" t="s">
        <v>20</v>
      </c>
      <c r="G76" t="s">
        <v>8</v>
      </c>
      <c r="H76" t="s">
        <v>8</v>
      </c>
      <c r="I76" t="s">
        <v>9</v>
      </c>
      <c r="J76" t="s">
        <v>8</v>
      </c>
      <c r="K76" t="s">
        <v>8</v>
      </c>
    </row>
    <row r="77" spans="1:11" x14ac:dyDescent="0.2">
      <c r="A77" s="1" t="s">
        <v>115</v>
      </c>
      <c r="B77" t="s">
        <v>5</v>
      </c>
      <c r="C77">
        <v>24</v>
      </c>
      <c r="D77" t="s">
        <v>45</v>
      </c>
      <c r="E77" t="s">
        <v>190</v>
      </c>
      <c r="F77" t="s">
        <v>20</v>
      </c>
      <c r="G77" t="s">
        <v>8</v>
      </c>
      <c r="H77" t="s">
        <v>8</v>
      </c>
      <c r="I77" t="s">
        <v>9</v>
      </c>
      <c r="J77" t="s">
        <v>9</v>
      </c>
      <c r="K77" t="s">
        <v>8</v>
      </c>
    </row>
    <row r="78" spans="1:11" x14ac:dyDescent="0.2">
      <c r="A78" s="1" t="s">
        <v>116</v>
      </c>
      <c r="B78" t="s">
        <v>5</v>
      </c>
      <c r="C78">
        <v>23</v>
      </c>
      <c r="D78" t="s">
        <v>6</v>
      </c>
      <c r="E78" t="s">
        <v>190</v>
      </c>
      <c r="F78" t="s">
        <v>7</v>
      </c>
      <c r="G78" t="s">
        <v>8</v>
      </c>
      <c r="H78" t="s">
        <v>9</v>
      </c>
      <c r="I78" t="s">
        <v>8</v>
      </c>
      <c r="J78" t="s">
        <v>8</v>
      </c>
      <c r="K78" t="s">
        <v>8</v>
      </c>
    </row>
    <row r="79" spans="1:11" x14ac:dyDescent="0.2">
      <c r="A79" s="1" t="s">
        <v>117</v>
      </c>
      <c r="B79" t="s">
        <v>5</v>
      </c>
      <c r="C79">
        <v>18</v>
      </c>
      <c r="D79" t="s">
        <v>118</v>
      </c>
      <c r="E79" t="s">
        <v>195</v>
      </c>
      <c r="F79" t="s">
        <v>7</v>
      </c>
      <c r="G79" t="s">
        <v>8</v>
      </c>
      <c r="H79" t="s">
        <v>8</v>
      </c>
      <c r="I79" t="s">
        <v>8</v>
      </c>
      <c r="J79" t="s">
        <v>9</v>
      </c>
      <c r="K79" t="s">
        <v>8</v>
      </c>
    </row>
    <row r="80" spans="1:11" x14ac:dyDescent="0.2">
      <c r="A80" s="1" t="s">
        <v>119</v>
      </c>
      <c r="B80" t="s">
        <v>5</v>
      </c>
      <c r="C80">
        <v>19</v>
      </c>
      <c r="D80" t="s">
        <v>120</v>
      </c>
      <c r="E80" t="s">
        <v>196</v>
      </c>
      <c r="F80" t="s">
        <v>70</v>
      </c>
      <c r="G80" t="s">
        <v>8</v>
      </c>
      <c r="H80" t="s">
        <v>8</v>
      </c>
      <c r="I80" t="s">
        <v>8</v>
      </c>
      <c r="J80" t="s">
        <v>8</v>
      </c>
      <c r="K80" t="s">
        <v>8</v>
      </c>
    </row>
    <row r="81" spans="1:11" x14ac:dyDescent="0.2">
      <c r="A81" s="1" t="s">
        <v>121</v>
      </c>
      <c r="B81" t="s">
        <v>5</v>
      </c>
      <c r="C81">
        <v>18</v>
      </c>
      <c r="D81" t="s">
        <v>6</v>
      </c>
      <c r="E81" t="s">
        <v>194</v>
      </c>
      <c r="F81" t="s">
        <v>20</v>
      </c>
      <c r="G81" t="s">
        <v>8</v>
      </c>
      <c r="H81" t="s">
        <v>8</v>
      </c>
      <c r="I81" t="s">
        <v>8</v>
      </c>
      <c r="J81" t="s">
        <v>8</v>
      </c>
      <c r="K81" t="s">
        <v>8</v>
      </c>
    </row>
    <row r="82" spans="1:11" x14ac:dyDescent="0.2">
      <c r="A82" s="1" t="s">
        <v>122</v>
      </c>
      <c r="B82" t="s">
        <v>5</v>
      </c>
      <c r="C82">
        <v>24</v>
      </c>
      <c r="D82" t="s">
        <v>123</v>
      </c>
      <c r="E82" t="s">
        <v>195</v>
      </c>
      <c r="F82" t="s">
        <v>20</v>
      </c>
      <c r="G82" t="s">
        <v>9</v>
      </c>
      <c r="H82" t="s">
        <v>9</v>
      </c>
      <c r="I82" t="s">
        <v>9</v>
      </c>
      <c r="J82" t="s">
        <v>9</v>
      </c>
      <c r="K82" t="s">
        <v>8</v>
      </c>
    </row>
    <row r="83" spans="1:11" x14ac:dyDescent="0.2">
      <c r="A83" s="1" t="s">
        <v>124</v>
      </c>
      <c r="B83" t="s">
        <v>5</v>
      </c>
      <c r="C83">
        <v>24</v>
      </c>
      <c r="D83" t="s">
        <v>125</v>
      </c>
      <c r="E83" t="s">
        <v>191</v>
      </c>
      <c r="F83" t="s">
        <v>20</v>
      </c>
      <c r="G83" t="s">
        <v>8</v>
      </c>
      <c r="H83" t="s">
        <v>8</v>
      </c>
      <c r="I83" t="s">
        <v>8</v>
      </c>
      <c r="J83" t="s">
        <v>8</v>
      </c>
      <c r="K83" t="s">
        <v>8</v>
      </c>
    </row>
    <row r="84" spans="1:11" x14ac:dyDescent="0.2">
      <c r="A84" s="1" t="s">
        <v>126</v>
      </c>
      <c r="B84" t="s">
        <v>5</v>
      </c>
      <c r="C84">
        <v>19</v>
      </c>
      <c r="D84" t="s">
        <v>6</v>
      </c>
      <c r="E84" t="s">
        <v>190</v>
      </c>
      <c r="F84" t="s">
        <v>7</v>
      </c>
      <c r="G84" t="s">
        <v>8</v>
      </c>
      <c r="H84" t="s">
        <v>9</v>
      </c>
      <c r="I84" t="s">
        <v>9</v>
      </c>
      <c r="J84" t="s">
        <v>8</v>
      </c>
      <c r="K84" t="s">
        <v>8</v>
      </c>
    </row>
    <row r="85" spans="1:11" x14ac:dyDescent="0.2">
      <c r="A85" s="1" t="s">
        <v>127</v>
      </c>
      <c r="B85" t="s">
        <v>5</v>
      </c>
      <c r="C85">
        <v>19</v>
      </c>
      <c r="D85" t="s">
        <v>128</v>
      </c>
      <c r="E85" t="s">
        <v>195</v>
      </c>
      <c r="F85" t="s">
        <v>7</v>
      </c>
      <c r="G85" t="s">
        <v>8</v>
      </c>
      <c r="H85" t="s">
        <v>8</v>
      </c>
      <c r="I85" t="s">
        <v>8</v>
      </c>
      <c r="J85" t="s">
        <v>8</v>
      </c>
      <c r="K85" t="s">
        <v>8</v>
      </c>
    </row>
    <row r="86" spans="1:11" x14ac:dyDescent="0.2">
      <c r="A86" s="1" t="s">
        <v>129</v>
      </c>
      <c r="B86" t="s">
        <v>11</v>
      </c>
      <c r="C86">
        <v>23</v>
      </c>
      <c r="D86" t="s">
        <v>130</v>
      </c>
      <c r="E86" t="s">
        <v>190</v>
      </c>
      <c r="F86" t="s">
        <v>7</v>
      </c>
      <c r="G86" t="s">
        <v>8</v>
      </c>
      <c r="H86" t="s">
        <v>8</v>
      </c>
      <c r="I86" t="s">
        <v>8</v>
      </c>
      <c r="J86" t="s">
        <v>8</v>
      </c>
      <c r="K86" t="s">
        <v>8</v>
      </c>
    </row>
    <row r="87" spans="1:11" x14ac:dyDescent="0.2">
      <c r="A87" s="1" t="s">
        <v>131</v>
      </c>
      <c r="B87" t="s">
        <v>5</v>
      </c>
      <c r="C87">
        <v>18</v>
      </c>
      <c r="D87" t="s">
        <v>132</v>
      </c>
      <c r="E87" t="s">
        <v>190</v>
      </c>
      <c r="F87" t="s">
        <v>20</v>
      </c>
      <c r="G87" t="s">
        <v>8</v>
      </c>
      <c r="H87" t="s">
        <v>9</v>
      </c>
      <c r="I87" t="s">
        <v>9</v>
      </c>
      <c r="J87" t="s">
        <v>8</v>
      </c>
      <c r="K87" t="s">
        <v>9</v>
      </c>
    </row>
    <row r="88" spans="1:11" x14ac:dyDescent="0.2">
      <c r="A88" s="1" t="s">
        <v>133</v>
      </c>
      <c r="B88" t="s">
        <v>5</v>
      </c>
      <c r="C88">
        <v>19</v>
      </c>
      <c r="D88" t="s">
        <v>134</v>
      </c>
      <c r="E88" t="s">
        <v>196</v>
      </c>
      <c r="F88" t="s">
        <v>7</v>
      </c>
      <c r="G88" t="s">
        <v>8</v>
      </c>
      <c r="H88" t="s">
        <v>8</v>
      </c>
      <c r="I88" t="s">
        <v>8</v>
      </c>
      <c r="J88" t="s">
        <v>8</v>
      </c>
      <c r="K88" t="s">
        <v>8</v>
      </c>
    </row>
    <row r="89" spans="1:11" x14ac:dyDescent="0.2">
      <c r="A89" s="1" t="s">
        <v>135</v>
      </c>
      <c r="B89" t="s">
        <v>5</v>
      </c>
      <c r="C89">
        <v>18</v>
      </c>
      <c r="D89" t="s">
        <v>132</v>
      </c>
      <c r="E89" t="s">
        <v>190</v>
      </c>
      <c r="F89" t="s">
        <v>20</v>
      </c>
      <c r="G89" t="s">
        <v>8</v>
      </c>
      <c r="H89" t="s">
        <v>9</v>
      </c>
      <c r="I89" t="s">
        <v>9</v>
      </c>
      <c r="J89" t="s">
        <v>9</v>
      </c>
      <c r="K89" t="s">
        <v>8</v>
      </c>
    </row>
    <row r="90" spans="1:11" x14ac:dyDescent="0.2">
      <c r="A90" s="1" t="s">
        <v>136</v>
      </c>
      <c r="B90" t="s">
        <v>11</v>
      </c>
      <c r="C90">
        <v>24</v>
      </c>
      <c r="D90" t="s">
        <v>14</v>
      </c>
      <c r="E90" t="s">
        <v>190</v>
      </c>
      <c r="F90" t="s">
        <v>7</v>
      </c>
      <c r="G90" t="s">
        <v>8</v>
      </c>
      <c r="H90" t="s">
        <v>8</v>
      </c>
      <c r="I90" t="s">
        <v>9</v>
      </c>
      <c r="J90" t="s">
        <v>8</v>
      </c>
      <c r="K90" t="s">
        <v>8</v>
      </c>
    </row>
    <row r="91" spans="1:11" x14ac:dyDescent="0.2">
      <c r="A91" s="1" t="s">
        <v>137</v>
      </c>
      <c r="B91" t="s">
        <v>11</v>
      </c>
      <c r="C91">
        <v>24</v>
      </c>
      <c r="D91" t="s">
        <v>6</v>
      </c>
      <c r="E91" t="s">
        <v>195</v>
      </c>
      <c r="F91" t="s">
        <v>60</v>
      </c>
      <c r="G91" t="s">
        <v>8</v>
      </c>
      <c r="H91" t="s">
        <v>8</v>
      </c>
      <c r="I91" t="s">
        <v>8</v>
      </c>
      <c r="J91" t="s">
        <v>9</v>
      </c>
      <c r="K91" t="s">
        <v>8</v>
      </c>
    </row>
    <row r="92" spans="1:11" x14ac:dyDescent="0.2">
      <c r="A92" s="1" t="s">
        <v>138</v>
      </c>
      <c r="B92" t="s">
        <v>5</v>
      </c>
      <c r="C92">
        <v>23</v>
      </c>
      <c r="D92" t="s">
        <v>139</v>
      </c>
      <c r="E92" t="s">
        <v>196</v>
      </c>
      <c r="F92" t="s">
        <v>20</v>
      </c>
      <c r="G92" t="s">
        <v>8</v>
      </c>
      <c r="H92" t="s">
        <v>8</v>
      </c>
      <c r="I92" t="s">
        <v>8</v>
      </c>
      <c r="J92" t="s">
        <v>9</v>
      </c>
      <c r="K92" t="s">
        <v>8</v>
      </c>
    </row>
    <row r="93" spans="1:11" x14ac:dyDescent="0.2">
      <c r="A93" s="1" t="s">
        <v>140</v>
      </c>
      <c r="B93" t="s">
        <v>11</v>
      </c>
      <c r="C93">
        <v>18</v>
      </c>
      <c r="D93" t="s">
        <v>141</v>
      </c>
      <c r="E93" t="s">
        <v>195</v>
      </c>
      <c r="F93" t="s">
        <v>7</v>
      </c>
      <c r="G93" t="s">
        <v>8</v>
      </c>
      <c r="H93" t="s">
        <v>8</v>
      </c>
      <c r="I93" t="s">
        <v>9</v>
      </c>
      <c r="J93" t="s">
        <v>8</v>
      </c>
      <c r="K93" t="s">
        <v>8</v>
      </c>
    </row>
    <row r="94" spans="1:11" x14ac:dyDescent="0.2">
      <c r="A94" s="1" t="s">
        <v>142</v>
      </c>
      <c r="B94" t="s">
        <v>5</v>
      </c>
      <c r="C94">
        <v>19</v>
      </c>
      <c r="D94" t="s">
        <v>45</v>
      </c>
      <c r="E94" t="s">
        <v>191</v>
      </c>
      <c r="F94" t="s">
        <v>7</v>
      </c>
      <c r="G94" t="s">
        <v>9</v>
      </c>
      <c r="H94" t="s">
        <v>9</v>
      </c>
      <c r="I94" t="s">
        <v>8</v>
      </c>
      <c r="J94" t="s">
        <v>8</v>
      </c>
      <c r="K94" t="s">
        <v>8</v>
      </c>
    </row>
    <row r="95" spans="1:11" x14ac:dyDescent="0.2">
      <c r="A95" s="1" t="s">
        <v>143</v>
      </c>
      <c r="B95" t="s">
        <v>5</v>
      </c>
      <c r="C95">
        <v>18</v>
      </c>
      <c r="D95" t="s">
        <v>90</v>
      </c>
      <c r="E95" t="s">
        <v>190</v>
      </c>
      <c r="F95" t="s">
        <v>7</v>
      </c>
      <c r="G95" t="s">
        <v>8</v>
      </c>
      <c r="H95" t="s">
        <v>9</v>
      </c>
      <c r="I95" t="s">
        <v>8</v>
      </c>
      <c r="J95" t="s">
        <v>8</v>
      </c>
      <c r="K95" t="s">
        <v>8</v>
      </c>
    </row>
    <row r="96" spans="1:11" x14ac:dyDescent="0.2">
      <c r="A96" s="1" t="s">
        <v>144</v>
      </c>
      <c r="B96" t="s">
        <v>5</v>
      </c>
      <c r="C96">
        <v>24</v>
      </c>
      <c r="D96" t="s">
        <v>145</v>
      </c>
      <c r="E96" t="s">
        <v>196</v>
      </c>
      <c r="F96" t="s">
        <v>70</v>
      </c>
      <c r="G96" t="s">
        <v>8</v>
      </c>
      <c r="H96" t="s">
        <v>8</v>
      </c>
      <c r="I96" t="s">
        <v>8</v>
      </c>
      <c r="J96" t="s">
        <v>9</v>
      </c>
      <c r="K96" t="s">
        <v>8</v>
      </c>
    </row>
    <row r="97" spans="1:11" x14ac:dyDescent="0.2">
      <c r="A97" s="1" t="s">
        <v>146</v>
      </c>
      <c r="B97" t="s">
        <v>5</v>
      </c>
      <c r="C97">
        <v>18</v>
      </c>
      <c r="D97" t="s">
        <v>147</v>
      </c>
      <c r="E97" t="s">
        <v>190</v>
      </c>
      <c r="F97" t="s">
        <v>20</v>
      </c>
      <c r="G97" t="s">
        <v>8</v>
      </c>
      <c r="H97" t="s">
        <v>8</v>
      </c>
      <c r="I97" t="s">
        <v>8</v>
      </c>
      <c r="J97" t="s">
        <v>8</v>
      </c>
      <c r="K97" t="s">
        <v>8</v>
      </c>
    </row>
    <row r="98" spans="1:11" x14ac:dyDescent="0.2">
      <c r="A98" s="1" t="s">
        <v>148</v>
      </c>
      <c r="B98" t="s">
        <v>5</v>
      </c>
      <c r="C98">
        <v>21</v>
      </c>
      <c r="D98" t="s">
        <v>25</v>
      </c>
      <c r="E98" t="s">
        <v>190</v>
      </c>
      <c r="F98" t="s">
        <v>20</v>
      </c>
      <c r="G98" t="s">
        <v>8</v>
      </c>
      <c r="H98" t="s">
        <v>8</v>
      </c>
      <c r="I98" t="s">
        <v>9</v>
      </c>
      <c r="J98" t="s">
        <v>8</v>
      </c>
      <c r="K98" t="s">
        <v>8</v>
      </c>
    </row>
    <row r="99" spans="1:11" x14ac:dyDescent="0.2">
      <c r="A99" s="1" t="s">
        <v>149</v>
      </c>
      <c r="B99" t="s">
        <v>11</v>
      </c>
      <c r="C99">
        <v>18</v>
      </c>
      <c r="D99" t="s">
        <v>6</v>
      </c>
      <c r="E99" t="s">
        <v>195</v>
      </c>
      <c r="F99" t="s">
        <v>7</v>
      </c>
      <c r="G99" t="s">
        <v>8</v>
      </c>
      <c r="H99" t="s">
        <v>9</v>
      </c>
      <c r="I99" t="s">
        <v>9</v>
      </c>
      <c r="J99" t="s">
        <v>8</v>
      </c>
      <c r="K99" t="s">
        <v>8</v>
      </c>
    </row>
    <row r="100" spans="1:11" x14ac:dyDescent="0.2">
      <c r="A100" s="1" t="s">
        <v>150</v>
      </c>
      <c r="B100" t="s">
        <v>5</v>
      </c>
      <c r="C100">
        <v>19</v>
      </c>
      <c r="D100" t="s">
        <v>151</v>
      </c>
      <c r="E100" t="s">
        <v>196</v>
      </c>
      <c r="F100" t="s">
        <v>20</v>
      </c>
      <c r="G100" t="s">
        <v>9</v>
      </c>
      <c r="H100" t="s">
        <v>9</v>
      </c>
      <c r="I100" t="s">
        <v>8</v>
      </c>
      <c r="J100" t="s">
        <v>9</v>
      </c>
      <c r="K100" t="s">
        <v>8</v>
      </c>
    </row>
    <row r="101" spans="1:11" x14ac:dyDescent="0.2">
      <c r="A101" s="1" t="s">
        <v>152</v>
      </c>
      <c r="B101" t="s">
        <v>5</v>
      </c>
      <c r="C101">
        <v>23</v>
      </c>
      <c r="D101" t="s">
        <v>153</v>
      </c>
      <c r="E101" t="s">
        <v>194</v>
      </c>
      <c r="F101" t="s">
        <v>20</v>
      </c>
      <c r="G101" t="s">
        <v>8</v>
      </c>
      <c r="H101" t="s">
        <v>8</v>
      </c>
      <c r="I101" t="s">
        <v>8</v>
      </c>
      <c r="J101" t="s">
        <v>8</v>
      </c>
      <c r="K101" t="s">
        <v>8</v>
      </c>
    </row>
    <row r="102" spans="1:11" x14ac:dyDescent="0.2">
      <c r="A102" s="1" t="s">
        <v>154</v>
      </c>
      <c r="B102" t="s">
        <v>11</v>
      </c>
      <c r="C102">
        <v>20</v>
      </c>
      <c r="D102" t="s">
        <v>82</v>
      </c>
      <c r="E102" t="s">
        <v>195</v>
      </c>
      <c r="F102" t="s">
        <v>7</v>
      </c>
      <c r="G102" t="s">
        <v>8</v>
      </c>
      <c r="H102" t="s">
        <v>8</v>
      </c>
      <c r="I102" t="s">
        <v>8</v>
      </c>
      <c r="J102" t="s">
        <v>8</v>
      </c>
      <c r="K102" t="s">
        <v>8</v>
      </c>
    </row>
  </sheetData>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B97F8-C44C-9B47-8931-355DA621D79C}">
  <dimension ref="A1:B4"/>
  <sheetViews>
    <sheetView workbookViewId="0">
      <selection activeCell="B10" sqref="B10"/>
    </sheetView>
  </sheetViews>
  <sheetFormatPr baseColWidth="10" defaultRowHeight="16" x14ac:dyDescent="0.2"/>
  <cols>
    <col min="1" max="1" width="12.83203125" bestFit="1" customWidth="1"/>
    <col min="2" max="2" width="28.6640625" customWidth="1"/>
  </cols>
  <sheetData>
    <row r="1" spans="1:2" x14ac:dyDescent="0.2">
      <c r="A1" s="2" t="s">
        <v>157</v>
      </c>
      <c r="B1" t="s">
        <v>165</v>
      </c>
    </row>
    <row r="2" spans="1:2" x14ac:dyDescent="0.2">
      <c r="A2" s="3" t="s">
        <v>8</v>
      </c>
      <c r="B2" s="10">
        <v>66</v>
      </c>
    </row>
    <row r="3" spans="1:2" x14ac:dyDescent="0.2">
      <c r="A3" s="3" t="s">
        <v>9</v>
      </c>
      <c r="B3" s="10">
        <v>35</v>
      </c>
    </row>
    <row r="4" spans="1:2" x14ac:dyDescent="0.2">
      <c r="A4" s="3" t="s">
        <v>158</v>
      </c>
      <c r="B4" s="10">
        <v>101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3FEF3-FC09-554F-8991-D8302FEF3F56}">
  <dimension ref="A3:F35"/>
  <sheetViews>
    <sheetView workbookViewId="0">
      <selection activeCell="B4" sqref="B4:B35"/>
      <pivotSelection pane="bottomRight" showHeader="1" extendable="1" axis="axisCol" max="5" activeRow="3" activeCol="1" previousRow="3" previousCol="1" click="1" r:id="rId1">
        <pivotArea dataOnly="0" outline="0" fieldPosition="0">
          <references count="1">
            <reference field="4" count="1">
              <x v="0"/>
            </reference>
          </references>
        </pivotArea>
      </pivotSelection>
    </sheetView>
  </sheetViews>
  <sheetFormatPr baseColWidth="10" defaultRowHeight="16" x14ac:dyDescent="0.2"/>
  <cols>
    <col min="1" max="1" width="14.6640625" bestFit="1" customWidth="1"/>
    <col min="2" max="2" width="15.5" bestFit="1" customWidth="1"/>
    <col min="3" max="4" width="3.1640625" bestFit="1" customWidth="1"/>
    <col min="5" max="5" width="2.1640625" bestFit="1" customWidth="1"/>
    <col min="6" max="6" width="10.83203125" bestFit="1" customWidth="1"/>
    <col min="7" max="7" width="25.33203125" bestFit="1" customWidth="1"/>
    <col min="8" max="8" width="26.1640625" bestFit="1" customWidth="1"/>
    <col min="9" max="9" width="25.33203125" bestFit="1" customWidth="1"/>
    <col min="10" max="10" width="31" bestFit="1" customWidth="1"/>
    <col min="11" max="11" width="30.1640625" bestFit="1" customWidth="1"/>
  </cols>
  <sheetData>
    <row r="3" spans="1:6" x14ac:dyDescent="0.2">
      <c r="A3" s="2" t="s">
        <v>179</v>
      </c>
      <c r="B3" s="2" t="s">
        <v>156</v>
      </c>
    </row>
    <row r="4" spans="1:6" x14ac:dyDescent="0.2">
      <c r="A4" s="2" t="s">
        <v>157</v>
      </c>
      <c r="B4">
        <v>1</v>
      </c>
      <c r="C4">
        <v>2</v>
      </c>
      <c r="D4">
        <v>3</v>
      </c>
      <c r="E4">
        <v>4</v>
      </c>
      <c r="F4" t="s">
        <v>158</v>
      </c>
    </row>
    <row r="5" spans="1:6" x14ac:dyDescent="0.2">
      <c r="A5" s="3">
        <v>18</v>
      </c>
      <c r="B5" s="10">
        <v>16</v>
      </c>
      <c r="C5" s="10">
        <v>10</v>
      </c>
      <c r="D5" s="10">
        <v>4</v>
      </c>
      <c r="E5" s="10">
        <v>2</v>
      </c>
      <c r="F5" s="10">
        <v>32</v>
      </c>
    </row>
    <row r="6" spans="1:6" x14ac:dyDescent="0.2">
      <c r="A6" s="4" t="s">
        <v>70</v>
      </c>
      <c r="B6" s="10">
        <v>1</v>
      </c>
      <c r="C6" s="10"/>
      <c r="D6" s="10"/>
      <c r="E6" s="10"/>
      <c r="F6" s="10">
        <v>1</v>
      </c>
    </row>
    <row r="7" spans="1:6" x14ac:dyDescent="0.2">
      <c r="A7" s="4" t="s">
        <v>60</v>
      </c>
      <c r="B7" s="10">
        <v>1</v>
      </c>
      <c r="C7" s="10"/>
      <c r="D7" s="10"/>
      <c r="E7" s="10"/>
      <c r="F7" s="10">
        <v>1</v>
      </c>
    </row>
    <row r="8" spans="1:6" x14ac:dyDescent="0.2">
      <c r="A8" s="4" t="s">
        <v>7</v>
      </c>
      <c r="B8" s="10">
        <v>3</v>
      </c>
      <c r="C8" s="10">
        <v>6</v>
      </c>
      <c r="D8" s="10">
        <v>3</v>
      </c>
      <c r="E8" s="10"/>
      <c r="F8" s="10">
        <v>12</v>
      </c>
    </row>
    <row r="9" spans="1:6" x14ac:dyDescent="0.2">
      <c r="A9" s="4" t="s">
        <v>20</v>
      </c>
      <c r="B9" s="10">
        <v>11</v>
      </c>
      <c r="C9" s="10">
        <v>4</v>
      </c>
      <c r="D9" s="10">
        <v>1</v>
      </c>
      <c r="E9" s="10">
        <v>2</v>
      </c>
      <c r="F9" s="10">
        <v>18</v>
      </c>
    </row>
    <row r="10" spans="1:6" x14ac:dyDescent="0.2">
      <c r="A10" s="3">
        <v>19</v>
      </c>
      <c r="B10" s="10">
        <v>11</v>
      </c>
      <c r="C10" s="10">
        <v>4</v>
      </c>
      <c r="D10" s="10">
        <v>6</v>
      </c>
      <c r="E10" s="10"/>
      <c r="F10" s="10">
        <v>21</v>
      </c>
    </row>
    <row r="11" spans="1:6" x14ac:dyDescent="0.2">
      <c r="A11" s="4" t="s">
        <v>70</v>
      </c>
      <c r="B11" s="10"/>
      <c r="C11" s="10"/>
      <c r="D11" s="10">
        <v>1</v>
      </c>
      <c r="E11" s="10"/>
      <c r="F11" s="10">
        <v>1</v>
      </c>
    </row>
    <row r="12" spans="1:6" x14ac:dyDescent="0.2">
      <c r="A12" s="4" t="s">
        <v>28</v>
      </c>
      <c r="B12" s="10">
        <v>1</v>
      </c>
      <c r="C12" s="10">
        <v>1</v>
      </c>
      <c r="D12" s="10"/>
      <c r="E12" s="10"/>
      <c r="F12" s="10">
        <v>2</v>
      </c>
    </row>
    <row r="13" spans="1:6" x14ac:dyDescent="0.2">
      <c r="A13" s="4" t="s">
        <v>7</v>
      </c>
      <c r="B13" s="10">
        <v>5</v>
      </c>
      <c r="C13" s="10">
        <v>2</v>
      </c>
      <c r="D13" s="10">
        <v>4</v>
      </c>
      <c r="E13" s="10"/>
      <c r="F13" s="10">
        <v>11</v>
      </c>
    </row>
    <row r="14" spans="1:6" x14ac:dyDescent="0.2">
      <c r="A14" s="4" t="s">
        <v>20</v>
      </c>
      <c r="B14" s="10">
        <v>5</v>
      </c>
      <c r="C14" s="10">
        <v>1</v>
      </c>
      <c r="D14" s="10">
        <v>1</v>
      </c>
      <c r="E14" s="10"/>
      <c r="F14" s="10">
        <v>7</v>
      </c>
    </row>
    <row r="15" spans="1:6" x14ac:dyDescent="0.2">
      <c r="A15" s="3">
        <v>20</v>
      </c>
      <c r="B15" s="10">
        <v>1</v>
      </c>
      <c r="C15" s="10">
        <v>3</v>
      </c>
      <c r="D15" s="10">
        <v>2</v>
      </c>
      <c r="E15" s="10"/>
      <c r="F15" s="10">
        <v>6</v>
      </c>
    </row>
    <row r="16" spans="1:6" x14ac:dyDescent="0.2">
      <c r="A16" s="4" t="s">
        <v>7</v>
      </c>
      <c r="B16" s="10"/>
      <c r="C16" s="10">
        <v>2</v>
      </c>
      <c r="D16" s="10">
        <v>2</v>
      </c>
      <c r="E16" s="10"/>
      <c r="F16" s="10">
        <v>4</v>
      </c>
    </row>
    <row r="17" spans="1:6" x14ac:dyDescent="0.2">
      <c r="A17" s="4" t="s">
        <v>20</v>
      </c>
      <c r="B17" s="10">
        <v>1</v>
      </c>
      <c r="C17" s="10">
        <v>1</v>
      </c>
      <c r="D17" s="10"/>
      <c r="E17" s="10"/>
      <c r="F17" s="10">
        <v>2</v>
      </c>
    </row>
    <row r="18" spans="1:6" x14ac:dyDescent="0.2">
      <c r="A18" s="3">
        <v>21</v>
      </c>
      <c r="B18" s="10">
        <v>2</v>
      </c>
      <c r="C18" s="10">
        <v>1</v>
      </c>
      <c r="D18" s="10"/>
      <c r="E18" s="10"/>
      <c r="F18" s="10">
        <v>3</v>
      </c>
    </row>
    <row r="19" spans="1:6" x14ac:dyDescent="0.2">
      <c r="A19" s="4" t="s">
        <v>7</v>
      </c>
      <c r="B19" s="10">
        <v>1</v>
      </c>
      <c r="C19" s="10">
        <v>1</v>
      </c>
      <c r="D19" s="10"/>
      <c r="E19" s="10"/>
      <c r="F19" s="10">
        <v>2</v>
      </c>
    </row>
    <row r="20" spans="1:6" x14ac:dyDescent="0.2">
      <c r="A20" s="4" t="s">
        <v>20</v>
      </c>
      <c r="B20" s="10">
        <v>1</v>
      </c>
      <c r="C20" s="10"/>
      <c r="D20" s="10"/>
      <c r="E20" s="10"/>
      <c r="F20" s="10">
        <v>1</v>
      </c>
    </row>
    <row r="21" spans="1:6" x14ac:dyDescent="0.2">
      <c r="A21" s="3">
        <v>22</v>
      </c>
      <c r="B21" s="10"/>
      <c r="C21" s="10"/>
      <c r="D21" s="10">
        <v>1</v>
      </c>
      <c r="E21" s="10">
        <v>1</v>
      </c>
      <c r="F21" s="10">
        <v>2</v>
      </c>
    </row>
    <row r="22" spans="1:6" x14ac:dyDescent="0.2">
      <c r="A22" s="4" t="s">
        <v>7</v>
      </c>
      <c r="B22" s="10"/>
      <c r="C22" s="10"/>
      <c r="D22" s="10">
        <v>1</v>
      </c>
      <c r="E22" s="10"/>
      <c r="F22" s="10">
        <v>1</v>
      </c>
    </row>
    <row r="23" spans="1:6" x14ac:dyDescent="0.2">
      <c r="A23" s="4" t="s">
        <v>20</v>
      </c>
      <c r="B23" s="10"/>
      <c r="C23" s="10"/>
      <c r="D23" s="10"/>
      <c r="E23" s="10">
        <v>1</v>
      </c>
      <c r="F23" s="10">
        <v>1</v>
      </c>
    </row>
    <row r="24" spans="1:6" x14ac:dyDescent="0.2">
      <c r="A24" s="3">
        <v>23</v>
      </c>
      <c r="B24" s="10">
        <v>5</v>
      </c>
      <c r="C24" s="10">
        <v>3</v>
      </c>
      <c r="D24" s="10">
        <v>3</v>
      </c>
      <c r="E24" s="10">
        <v>2</v>
      </c>
      <c r="F24" s="10">
        <v>13</v>
      </c>
    </row>
    <row r="25" spans="1:6" x14ac:dyDescent="0.2">
      <c r="A25" s="4" t="s">
        <v>28</v>
      </c>
      <c r="B25" s="10">
        <v>1</v>
      </c>
      <c r="C25" s="10"/>
      <c r="D25" s="10"/>
      <c r="E25" s="10"/>
      <c r="F25" s="10">
        <v>1</v>
      </c>
    </row>
    <row r="26" spans="1:6" x14ac:dyDescent="0.2">
      <c r="A26" s="4" t="s">
        <v>7</v>
      </c>
      <c r="B26" s="10">
        <v>3</v>
      </c>
      <c r="C26" s="10">
        <v>1</v>
      </c>
      <c r="D26" s="10"/>
      <c r="E26" s="10">
        <v>1</v>
      </c>
      <c r="F26" s="10">
        <v>5</v>
      </c>
    </row>
    <row r="27" spans="1:6" x14ac:dyDescent="0.2">
      <c r="A27" s="4" t="s">
        <v>20</v>
      </c>
      <c r="B27" s="10">
        <v>1</v>
      </c>
      <c r="C27" s="10">
        <v>1</v>
      </c>
      <c r="D27" s="10">
        <v>3</v>
      </c>
      <c r="E27" s="10">
        <v>1</v>
      </c>
      <c r="F27" s="10">
        <v>6</v>
      </c>
    </row>
    <row r="28" spans="1:6" x14ac:dyDescent="0.2">
      <c r="A28" s="4" t="s">
        <v>23</v>
      </c>
      <c r="B28" s="10"/>
      <c r="C28" s="10">
        <v>1</v>
      </c>
      <c r="D28" s="10"/>
      <c r="E28" s="10"/>
      <c r="F28" s="10">
        <v>1</v>
      </c>
    </row>
    <row r="29" spans="1:6" x14ac:dyDescent="0.2">
      <c r="A29" s="3">
        <v>24</v>
      </c>
      <c r="B29" s="10">
        <v>7</v>
      </c>
      <c r="C29" s="10">
        <v>5</v>
      </c>
      <c r="D29" s="10">
        <v>8</v>
      </c>
      <c r="E29" s="10">
        <v>3</v>
      </c>
      <c r="F29" s="10">
        <v>23</v>
      </c>
    </row>
    <row r="30" spans="1:6" x14ac:dyDescent="0.2">
      <c r="A30" s="4" t="s">
        <v>70</v>
      </c>
      <c r="B30" s="10"/>
      <c r="C30" s="10"/>
      <c r="D30" s="10">
        <v>1</v>
      </c>
      <c r="E30" s="10"/>
      <c r="F30" s="10">
        <v>1</v>
      </c>
    </row>
    <row r="31" spans="1:6" x14ac:dyDescent="0.2">
      <c r="A31" s="4" t="s">
        <v>60</v>
      </c>
      <c r="B31" s="10"/>
      <c r="C31" s="10">
        <v>1</v>
      </c>
      <c r="D31" s="10"/>
      <c r="E31" s="10"/>
      <c r="F31" s="10">
        <v>1</v>
      </c>
    </row>
    <row r="32" spans="1:6" x14ac:dyDescent="0.2">
      <c r="A32" s="4" t="s">
        <v>28</v>
      </c>
      <c r="B32" s="10"/>
      <c r="C32" s="10">
        <v>1</v>
      </c>
      <c r="D32" s="10"/>
      <c r="E32" s="10"/>
      <c r="F32" s="10">
        <v>1</v>
      </c>
    </row>
    <row r="33" spans="1:6" x14ac:dyDescent="0.2">
      <c r="A33" s="4" t="s">
        <v>7</v>
      </c>
      <c r="B33" s="10">
        <v>3</v>
      </c>
      <c r="C33" s="10">
        <v>1</v>
      </c>
      <c r="D33" s="10">
        <v>2</v>
      </c>
      <c r="E33" s="10">
        <v>2</v>
      </c>
      <c r="F33" s="10">
        <v>8</v>
      </c>
    </row>
    <row r="34" spans="1:6" x14ac:dyDescent="0.2">
      <c r="A34" s="4" t="s">
        <v>20</v>
      </c>
      <c r="B34" s="10">
        <v>4</v>
      </c>
      <c r="C34" s="10">
        <v>2</v>
      </c>
      <c r="D34" s="10">
        <v>5</v>
      </c>
      <c r="E34" s="10">
        <v>1</v>
      </c>
      <c r="F34" s="10">
        <v>12</v>
      </c>
    </row>
    <row r="35" spans="1:6" x14ac:dyDescent="0.2">
      <c r="A35" s="3" t="s">
        <v>158</v>
      </c>
      <c r="B35" s="10">
        <v>42</v>
      </c>
      <c r="C35" s="10">
        <v>26</v>
      </c>
      <c r="D35" s="10">
        <v>24</v>
      </c>
      <c r="E35" s="10">
        <v>8</v>
      </c>
      <c r="F35" s="10">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EBA1F-F61D-FC42-967C-7017E7FB525B}">
  <dimension ref="A1:D11"/>
  <sheetViews>
    <sheetView workbookViewId="0">
      <selection activeCell="A13" sqref="A13"/>
    </sheetView>
  </sheetViews>
  <sheetFormatPr baseColWidth="10" defaultRowHeight="16" x14ac:dyDescent="0.2"/>
  <cols>
    <col min="1" max="1" width="13" bestFit="1" customWidth="1"/>
    <col min="2" max="2" width="10.33203125" bestFit="1" customWidth="1"/>
    <col min="3" max="3" width="7.5" bestFit="1" customWidth="1"/>
    <col min="4" max="4" width="11.1640625" bestFit="1" customWidth="1"/>
    <col min="5" max="5" width="20.1640625" bestFit="1" customWidth="1"/>
    <col min="6" max="9" width="15.5" bestFit="1" customWidth="1"/>
  </cols>
  <sheetData>
    <row r="1" spans="1:4" x14ac:dyDescent="0.2">
      <c r="A1" s="2" t="s">
        <v>3</v>
      </c>
      <c r="B1" t="s">
        <v>167</v>
      </c>
    </row>
    <row r="3" spans="1:4" x14ac:dyDescent="0.2">
      <c r="A3" s="2" t="s">
        <v>157</v>
      </c>
      <c r="B3" t="s">
        <v>171</v>
      </c>
      <c r="C3" t="s">
        <v>177</v>
      </c>
      <c r="D3" t="s">
        <v>176</v>
      </c>
    </row>
    <row r="4" spans="1:4" x14ac:dyDescent="0.2">
      <c r="A4" s="3">
        <v>18</v>
      </c>
      <c r="B4" s="10">
        <v>32</v>
      </c>
      <c r="C4" s="10">
        <v>32</v>
      </c>
      <c r="D4" s="10">
        <v>32</v>
      </c>
    </row>
    <row r="5" spans="1:4" x14ac:dyDescent="0.2">
      <c r="A5" s="3">
        <v>19</v>
      </c>
      <c r="B5" s="10">
        <v>21</v>
      </c>
      <c r="C5" s="10">
        <v>21</v>
      </c>
      <c r="D5" s="10">
        <v>21</v>
      </c>
    </row>
    <row r="6" spans="1:4" x14ac:dyDescent="0.2">
      <c r="A6" s="3">
        <v>20</v>
      </c>
      <c r="B6" s="10">
        <v>6</v>
      </c>
      <c r="C6" s="10">
        <v>6</v>
      </c>
      <c r="D6" s="10">
        <v>6</v>
      </c>
    </row>
    <row r="7" spans="1:4" x14ac:dyDescent="0.2">
      <c r="A7" s="3">
        <v>21</v>
      </c>
      <c r="B7" s="10">
        <v>3</v>
      </c>
      <c r="C7" s="10">
        <v>3</v>
      </c>
      <c r="D7" s="10">
        <v>3</v>
      </c>
    </row>
    <row r="8" spans="1:4" x14ac:dyDescent="0.2">
      <c r="A8" s="3">
        <v>22</v>
      </c>
      <c r="B8" s="10">
        <v>2</v>
      </c>
      <c r="C8" s="10">
        <v>2</v>
      </c>
      <c r="D8" s="10">
        <v>2</v>
      </c>
    </row>
    <row r="9" spans="1:4" x14ac:dyDescent="0.2">
      <c r="A9" s="3">
        <v>23</v>
      </c>
      <c r="B9" s="10">
        <v>13</v>
      </c>
      <c r="C9" s="10">
        <v>13</v>
      </c>
      <c r="D9" s="10">
        <v>13</v>
      </c>
    </row>
    <row r="10" spans="1:4" x14ac:dyDescent="0.2">
      <c r="A10" s="3">
        <v>24</v>
      </c>
      <c r="B10" s="10">
        <v>23</v>
      </c>
      <c r="C10" s="10">
        <v>23</v>
      </c>
      <c r="D10" s="10">
        <v>23</v>
      </c>
    </row>
    <row r="11" spans="1:4" x14ac:dyDescent="0.2">
      <c r="A11" s="3" t="s">
        <v>158</v>
      </c>
      <c r="B11" s="10">
        <v>100</v>
      </c>
      <c r="C11" s="10">
        <v>100</v>
      </c>
      <c r="D11" s="10">
        <v>100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22FC2-F085-7D4B-90BF-F62790225737}">
  <dimension ref="A3:D39"/>
  <sheetViews>
    <sheetView workbookViewId="0">
      <selection activeCell="I2" sqref="I2"/>
    </sheetView>
  </sheetViews>
  <sheetFormatPr baseColWidth="10" defaultRowHeight="16" x14ac:dyDescent="0.2"/>
  <cols>
    <col min="1" max="1" width="21.1640625" bestFit="1" customWidth="1"/>
    <col min="2" max="2" width="11.1640625" bestFit="1" customWidth="1"/>
    <col min="3" max="3" width="7.5" bestFit="1" customWidth="1"/>
    <col min="4" max="4" width="10.33203125" bestFit="1" customWidth="1"/>
  </cols>
  <sheetData>
    <row r="3" spans="1:4" x14ac:dyDescent="0.2">
      <c r="A3" s="2" t="s">
        <v>181</v>
      </c>
      <c r="B3" t="s">
        <v>176</v>
      </c>
      <c r="C3" t="s">
        <v>177</v>
      </c>
      <c r="D3" t="s">
        <v>171</v>
      </c>
    </row>
    <row r="4" spans="1:4" x14ac:dyDescent="0.2">
      <c r="A4" s="3" t="s">
        <v>37</v>
      </c>
      <c r="B4" s="10">
        <v>1</v>
      </c>
      <c r="C4" s="10">
        <v>1</v>
      </c>
      <c r="D4" s="10">
        <v>1</v>
      </c>
    </row>
    <row r="5" spans="1:4" x14ac:dyDescent="0.2">
      <c r="A5" s="3" t="s">
        <v>49</v>
      </c>
      <c r="B5" s="10">
        <v>1</v>
      </c>
      <c r="C5" s="10">
        <v>1</v>
      </c>
      <c r="D5" s="10">
        <v>1</v>
      </c>
    </row>
    <row r="6" spans="1:4" x14ac:dyDescent="0.2">
      <c r="A6" s="3" t="s">
        <v>25</v>
      </c>
      <c r="B6" s="10">
        <v>17</v>
      </c>
      <c r="C6" s="10">
        <v>17</v>
      </c>
      <c r="D6" s="10">
        <v>17</v>
      </c>
    </row>
    <row r="7" spans="1:4" x14ac:dyDescent="0.2">
      <c r="A7" s="3" t="s">
        <v>90</v>
      </c>
      <c r="B7" s="10">
        <v>3</v>
      </c>
      <c r="C7" s="10">
        <v>3</v>
      </c>
      <c r="D7" s="10">
        <v>3</v>
      </c>
    </row>
    <row r="8" spans="1:4" x14ac:dyDescent="0.2">
      <c r="A8" s="3" t="s">
        <v>82</v>
      </c>
      <c r="B8" s="10">
        <v>4</v>
      </c>
      <c r="C8" s="10">
        <v>4</v>
      </c>
      <c r="D8" s="10">
        <v>4</v>
      </c>
    </row>
    <row r="9" spans="1:4" x14ac:dyDescent="0.2">
      <c r="A9" s="3" t="s">
        <v>120</v>
      </c>
      <c r="B9" s="10">
        <v>1</v>
      </c>
      <c r="C9" s="10">
        <v>1</v>
      </c>
      <c r="D9" s="10">
        <v>1</v>
      </c>
    </row>
    <row r="10" spans="1:4" x14ac:dyDescent="0.2">
      <c r="A10" s="3" t="s">
        <v>14</v>
      </c>
      <c r="B10" s="10">
        <v>8</v>
      </c>
      <c r="C10" s="10">
        <v>8</v>
      </c>
      <c r="D10" s="10">
        <v>8</v>
      </c>
    </row>
    <row r="11" spans="1:4" x14ac:dyDescent="0.2">
      <c r="A11" s="3" t="s">
        <v>55</v>
      </c>
      <c r="B11" s="10">
        <v>1</v>
      </c>
      <c r="C11" s="10">
        <v>1</v>
      </c>
      <c r="D11" s="10">
        <v>1</v>
      </c>
    </row>
    <row r="12" spans="1:4" x14ac:dyDescent="0.2">
      <c r="A12" s="3" t="s">
        <v>97</v>
      </c>
      <c r="B12" s="10">
        <v>1</v>
      </c>
      <c r="C12" s="10">
        <v>1</v>
      </c>
      <c r="D12" s="10">
        <v>1</v>
      </c>
    </row>
    <row r="13" spans="1:4" x14ac:dyDescent="0.2">
      <c r="A13" s="3" t="s">
        <v>125</v>
      </c>
      <c r="B13" s="10">
        <v>1</v>
      </c>
      <c r="C13" s="10">
        <v>1</v>
      </c>
      <c r="D13" s="10">
        <v>1</v>
      </c>
    </row>
    <row r="14" spans="1:4" x14ac:dyDescent="0.2">
      <c r="A14" s="3" t="s">
        <v>139</v>
      </c>
      <c r="B14" s="10">
        <v>1</v>
      </c>
      <c r="C14" s="10">
        <v>1</v>
      </c>
      <c r="D14" s="10">
        <v>1</v>
      </c>
    </row>
    <row r="15" spans="1:4" x14ac:dyDescent="0.2">
      <c r="A15" s="3" t="s">
        <v>102</v>
      </c>
      <c r="B15" s="10">
        <v>1</v>
      </c>
      <c r="C15" s="10">
        <v>1</v>
      </c>
      <c r="D15" s="10">
        <v>1</v>
      </c>
    </row>
    <row r="16" spans="1:4" x14ac:dyDescent="0.2">
      <c r="A16" s="3" t="s">
        <v>99</v>
      </c>
      <c r="B16" s="10">
        <v>1</v>
      </c>
      <c r="C16" s="10">
        <v>1</v>
      </c>
      <c r="D16" s="10">
        <v>1</v>
      </c>
    </row>
    <row r="17" spans="1:4" x14ac:dyDescent="0.2">
      <c r="A17" s="3" t="s">
        <v>76</v>
      </c>
      <c r="B17" s="10">
        <v>2</v>
      </c>
      <c r="C17" s="10">
        <v>2</v>
      </c>
      <c r="D17" s="10">
        <v>2</v>
      </c>
    </row>
    <row r="18" spans="1:4" x14ac:dyDescent="0.2">
      <c r="A18" s="3" t="s">
        <v>6</v>
      </c>
      <c r="B18" s="10">
        <v>14</v>
      </c>
      <c r="C18" s="10">
        <v>14</v>
      </c>
      <c r="D18" s="10">
        <v>14</v>
      </c>
    </row>
    <row r="19" spans="1:4" x14ac:dyDescent="0.2">
      <c r="A19" s="3" t="s">
        <v>145</v>
      </c>
      <c r="B19" s="10">
        <v>1</v>
      </c>
      <c r="C19" s="10">
        <v>1</v>
      </c>
      <c r="D19" s="10">
        <v>1</v>
      </c>
    </row>
    <row r="20" spans="1:4" x14ac:dyDescent="0.2">
      <c r="A20" s="3" t="s">
        <v>134</v>
      </c>
      <c r="B20" s="10">
        <v>1</v>
      </c>
      <c r="C20" s="10">
        <v>1</v>
      </c>
      <c r="D20" s="10">
        <v>1</v>
      </c>
    </row>
    <row r="21" spans="1:4" x14ac:dyDescent="0.2">
      <c r="A21" s="3" t="s">
        <v>27</v>
      </c>
      <c r="B21" s="10">
        <v>1</v>
      </c>
      <c r="C21" s="10">
        <v>1</v>
      </c>
      <c r="D21" s="10">
        <v>1</v>
      </c>
    </row>
    <row r="22" spans="1:4" x14ac:dyDescent="0.2">
      <c r="A22" s="3" t="s">
        <v>118</v>
      </c>
      <c r="B22" s="10">
        <v>1</v>
      </c>
      <c r="C22" s="10">
        <v>1</v>
      </c>
      <c r="D22" s="10">
        <v>1</v>
      </c>
    </row>
    <row r="23" spans="1:4" x14ac:dyDescent="0.2">
      <c r="A23" s="3" t="s">
        <v>30</v>
      </c>
      <c r="B23" s="10">
        <v>1</v>
      </c>
      <c r="C23" s="10">
        <v>1</v>
      </c>
      <c r="D23" s="10">
        <v>1</v>
      </c>
    </row>
    <row r="24" spans="1:4" x14ac:dyDescent="0.2">
      <c r="A24" s="3" t="s">
        <v>12</v>
      </c>
      <c r="B24" s="10">
        <v>2</v>
      </c>
      <c r="C24" s="10">
        <v>2</v>
      </c>
      <c r="D24" s="10">
        <v>2</v>
      </c>
    </row>
    <row r="25" spans="1:4" x14ac:dyDescent="0.2">
      <c r="A25" s="3" t="s">
        <v>94</v>
      </c>
      <c r="B25" s="10">
        <v>1</v>
      </c>
      <c r="C25" s="10">
        <v>1</v>
      </c>
      <c r="D25" s="10">
        <v>1</v>
      </c>
    </row>
    <row r="26" spans="1:4" x14ac:dyDescent="0.2">
      <c r="A26" s="3" t="s">
        <v>35</v>
      </c>
      <c r="B26" s="10">
        <v>1</v>
      </c>
      <c r="C26" s="10">
        <v>1</v>
      </c>
      <c r="D26" s="10">
        <v>1</v>
      </c>
    </row>
    <row r="27" spans="1:4" x14ac:dyDescent="0.2">
      <c r="A27" s="3" t="s">
        <v>64</v>
      </c>
      <c r="B27" s="10">
        <v>2</v>
      </c>
      <c r="C27" s="10">
        <v>2</v>
      </c>
      <c r="D27" s="10">
        <v>2</v>
      </c>
    </row>
    <row r="28" spans="1:4" x14ac:dyDescent="0.2">
      <c r="A28" s="3" t="s">
        <v>45</v>
      </c>
      <c r="B28" s="10">
        <v>4</v>
      </c>
      <c r="C28" s="10">
        <v>4</v>
      </c>
      <c r="D28" s="10">
        <v>4</v>
      </c>
    </row>
    <row r="29" spans="1:4" x14ac:dyDescent="0.2">
      <c r="A29" s="3" t="s">
        <v>109</v>
      </c>
      <c r="B29" s="10">
        <v>1</v>
      </c>
      <c r="C29" s="10">
        <v>1</v>
      </c>
      <c r="D29" s="10">
        <v>1</v>
      </c>
    </row>
    <row r="30" spans="1:4" x14ac:dyDescent="0.2">
      <c r="A30" s="3" t="s">
        <v>61</v>
      </c>
      <c r="B30" s="10">
        <v>1</v>
      </c>
      <c r="C30" s="10">
        <v>1</v>
      </c>
      <c r="D30" s="10">
        <v>1</v>
      </c>
    </row>
    <row r="31" spans="1:4" x14ac:dyDescent="0.2">
      <c r="A31" s="3" t="s">
        <v>16</v>
      </c>
      <c r="B31" s="10">
        <v>1</v>
      </c>
      <c r="C31" s="10">
        <v>1</v>
      </c>
      <c r="D31" s="10">
        <v>1</v>
      </c>
    </row>
    <row r="32" spans="1:4" x14ac:dyDescent="0.2">
      <c r="A32" s="3" t="s">
        <v>107</v>
      </c>
      <c r="B32" s="10">
        <v>1</v>
      </c>
      <c r="C32" s="10">
        <v>1</v>
      </c>
      <c r="D32" s="10">
        <v>1</v>
      </c>
    </row>
    <row r="33" spans="1:4" x14ac:dyDescent="0.2">
      <c r="A33" s="3" t="s">
        <v>18</v>
      </c>
      <c r="B33" s="10">
        <v>1</v>
      </c>
      <c r="C33" s="10">
        <v>1</v>
      </c>
      <c r="D33" s="10">
        <v>1</v>
      </c>
    </row>
    <row r="34" spans="1:4" x14ac:dyDescent="0.2">
      <c r="A34" s="3" t="s">
        <v>22</v>
      </c>
      <c r="B34" s="10">
        <v>1</v>
      </c>
      <c r="C34" s="10">
        <v>1</v>
      </c>
      <c r="D34" s="10">
        <v>1</v>
      </c>
    </row>
    <row r="35" spans="1:4" x14ac:dyDescent="0.2">
      <c r="A35" s="3" t="s">
        <v>128</v>
      </c>
      <c r="B35" s="10">
        <v>1</v>
      </c>
      <c r="C35" s="10">
        <v>1</v>
      </c>
      <c r="D35" s="10">
        <v>1</v>
      </c>
    </row>
    <row r="36" spans="1:4" x14ac:dyDescent="0.2">
      <c r="A36" s="3" t="s">
        <v>31</v>
      </c>
      <c r="B36" s="10">
        <v>3</v>
      </c>
      <c r="C36" s="10">
        <v>3</v>
      </c>
      <c r="D36" s="10">
        <v>3</v>
      </c>
    </row>
    <row r="37" spans="1:4" x14ac:dyDescent="0.2">
      <c r="A37" s="3" t="s">
        <v>130</v>
      </c>
      <c r="B37" s="10">
        <v>1</v>
      </c>
      <c r="C37" s="10">
        <v>1</v>
      </c>
      <c r="D37" s="10">
        <v>1</v>
      </c>
    </row>
    <row r="38" spans="1:4" x14ac:dyDescent="0.2">
      <c r="A38" s="3" t="s">
        <v>72</v>
      </c>
      <c r="B38" s="10">
        <v>1</v>
      </c>
      <c r="C38" s="10">
        <v>1</v>
      </c>
      <c r="D38" s="10">
        <v>1</v>
      </c>
    </row>
    <row r="39" spans="1:4" x14ac:dyDescent="0.2">
      <c r="A39" s="3" t="s">
        <v>68</v>
      </c>
      <c r="B39" s="10">
        <v>1</v>
      </c>
      <c r="C39" s="10">
        <v>1</v>
      </c>
      <c r="D39" s="1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445F8-E3F4-6444-A8B1-E9749AF37D2B}">
  <dimension ref="A1:P102"/>
  <sheetViews>
    <sheetView topLeftCell="C1" zoomScaleNormal="100" workbookViewId="0">
      <selection activeCell="L7" sqref="L7"/>
    </sheetView>
  </sheetViews>
  <sheetFormatPr baseColWidth="10" defaultRowHeight="16" x14ac:dyDescent="0.2"/>
  <cols>
    <col min="1" max="1" width="8.83203125" customWidth="1"/>
    <col min="2" max="2" width="6.83203125" customWidth="1"/>
    <col min="3" max="3" width="17.1640625" customWidth="1"/>
    <col min="4" max="4" width="14" customWidth="1"/>
    <col min="5" max="5" width="10" customWidth="1"/>
    <col min="6" max="6" width="15.1640625" bestFit="1" customWidth="1"/>
    <col min="7" max="7" width="10.83203125" customWidth="1"/>
    <col min="8" max="8" width="8.1640625" customWidth="1"/>
    <col min="9" max="9" width="12.5" customWidth="1"/>
    <col min="10" max="10" width="22.83203125" customWidth="1"/>
    <col min="11" max="11" width="13.6640625" customWidth="1"/>
    <col min="12" max="12" width="22" customWidth="1"/>
  </cols>
  <sheetData>
    <row r="1" spans="1:16" ht="21" x14ac:dyDescent="0.25">
      <c r="A1" t="s">
        <v>159</v>
      </c>
      <c r="B1" t="s">
        <v>1</v>
      </c>
      <c r="C1" t="s">
        <v>178</v>
      </c>
      <c r="D1" t="s">
        <v>160</v>
      </c>
      <c r="E1" t="s">
        <v>161</v>
      </c>
      <c r="F1" t="s">
        <v>3</v>
      </c>
      <c r="G1" t="s">
        <v>162</v>
      </c>
      <c r="H1" t="s">
        <v>163</v>
      </c>
      <c r="I1" t="s">
        <v>164</v>
      </c>
      <c r="J1" t="s">
        <v>166</v>
      </c>
      <c r="K1" t="s">
        <v>182</v>
      </c>
      <c r="N1" s="12" t="s">
        <v>180</v>
      </c>
    </row>
    <row r="2" spans="1:16" x14ac:dyDescent="0.2">
      <c r="A2" t="s">
        <v>5</v>
      </c>
      <c r="B2">
        <v>18</v>
      </c>
      <c r="C2" t="s">
        <v>6</v>
      </c>
      <c r="D2">
        <v>1</v>
      </c>
      <c r="E2" t="s">
        <v>7</v>
      </c>
      <c r="F2" t="s">
        <v>8</v>
      </c>
      <c r="G2" t="s">
        <v>9</v>
      </c>
      <c r="H2" t="s">
        <v>8</v>
      </c>
      <c r="I2" t="s">
        <v>9</v>
      </c>
      <c r="J2" t="s">
        <v>8</v>
      </c>
      <c r="K2" s="10" t="str">
        <f>IF(OR(G2="Yes", H2="Yes", I2="Yes"), "Problem", "No")</f>
        <v>Problem</v>
      </c>
      <c r="N2" s="11"/>
    </row>
    <row r="3" spans="1:16" ht="17" x14ac:dyDescent="0.2">
      <c r="A3" t="s">
        <v>11</v>
      </c>
      <c r="B3">
        <v>21</v>
      </c>
      <c r="C3" t="s">
        <v>12</v>
      </c>
      <c r="D3">
        <v>2</v>
      </c>
      <c r="E3" t="s">
        <v>7</v>
      </c>
      <c r="F3" t="s">
        <v>8</v>
      </c>
      <c r="G3" t="s">
        <v>8</v>
      </c>
      <c r="H3" t="s">
        <v>9</v>
      </c>
      <c r="I3" t="s">
        <v>8</v>
      </c>
      <c r="J3" t="s">
        <v>8</v>
      </c>
      <c r="K3" s="10" t="str">
        <f>IF(OR(G3="Yes", H3="Yes", I3="Yes"), "Problem", "No")</f>
        <v>Problem</v>
      </c>
      <c r="M3" s="6" t="s">
        <v>168</v>
      </c>
      <c r="N3" s="6" t="s">
        <v>169</v>
      </c>
      <c r="O3" s="7" t="s">
        <v>170</v>
      </c>
      <c r="P3" s="6" t="s">
        <v>175</v>
      </c>
    </row>
    <row r="4" spans="1:16" x14ac:dyDescent="0.2">
      <c r="A4" t="s">
        <v>11</v>
      </c>
      <c r="B4">
        <v>19</v>
      </c>
      <c r="C4" t="s">
        <v>14</v>
      </c>
      <c r="D4">
        <v>1</v>
      </c>
      <c r="E4" t="s">
        <v>7</v>
      </c>
      <c r="F4" t="s">
        <v>8</v>
      </c>
      <c r="G4" t="s">
        <v>9</v>
      </c>
      <c r="H4" t="s">
        <v>9</v>
      </c>
      <c r="I4" t="s">
        <v>9</v>
      </c>
      <c r="J4" t="s">
        <v>8</v>
      </c>
      <c r="K4" s="10" t="str">
        <f>IF(OR(G4="Yes", H4="Yes", I4="Yes"), "Problem", "No")</f>
        <v>Problem</v>
      </c>
      <c r="M4" s="5" t="s">
        <v>171</v>
      </c>
      <c r="N4" s="8">
        <f>COUNTIF(G2:G102,"Yes")</f>
        <v>35</v>
      </c>
      <c r="O4" s="5">
        <f>(N4/$P$4)*100</f>
        <v>35</v>
      </c>
      <c r="P4" s="5">
        <f>COUNTA(A2:A102)-1</f>
        <v>100</v>
      </c>
    </row>
    <row r="5" spans="1:16" x14ac:dyDescent="0.2">
      <c r="A5" t="s">
        <v>5</v>
      </c>
      <c r="B5">
        <v>22</v>
      </c>
      <c r="C5" t="s">
        <v>16</v>
      </c>
      <c r="D5">
        <v>3</v>
      </c>
      <c r="E5" t="s">
        <v>7</v>
      </c>
      <c r="F5" t="s">
        <v>9</v>
      </c>
      <c r="G5" t="s">
        <v>9</v>
      </c>
      <c r="H5" t="s">
        <v>8</v>
      </c>
      <c r="I5" t="s">
        <v>8</v>
      </c>
      <c r="J5" t="s">
        <v>8</v>
      </c>
      <c r="K5" s="10" t="str">
        <f>IF(OR(G5="Yes", H5="Yes", I5="Yes"), "Problem", "No")</f>
        <v>Problem</v>
      </c>
      <c r="M5" s="5" t="s">
        <v>172</v>
      </c>
      <c r="N5" s="5">
        <f>COUNTIF(H2:H102,"Yes")</f>
        <v>34</v>
      </c>
      <c r="O5" s="5">
        <f>(N5/$P$4)*100</f>
        <v>34</v>
      </c>
      <c r="P5" s="5"/>
    </row>
    <row r="6" spans="1:16" x14ac:dyDescent="0.2">
      <c r="A6" t="s">
        <v>11</v>
      </c>
      <c r="B6">
        <v>23</v>
      </c>
      <c r="C6" t="s">
        <v>18</v>
      </c>
      <c r="D6">
        <v>4</v>
      </c>
      <c r="E6" t="s">
        <v>7</v>
      </c>
      <c r="F6" t="s">
        <v>8</v>
      </c>
      <c r="G6" t="s">
        <v>8</v>
      </c>
      <c r="H6" t="s">
        <v>8</v>
      </c>
      <c r="I6" t="s">
        <v>8</v>
      </c>
      <c r="J6" t="s">
        <v>8</v>
      </c>
      <c r="K6" s="10" t="str">
        <f>IF(OR(G6="Yes", H6="Yes", I6="Yes"), "Problem", "No")</f>
        <v>No</v>
      </c>
      <c r="M6" s="5" t="s">
        <v>173</v>
      </c>
      <c r="N6" s="5">
        <f>COUNTIF(I2:I102,"Yes")</f>
        <v>33</v>
      </c>
      <c r="O6" s="5">
        <f>(N6/$P$4)*100</f>
        <v>33</v>
      </c>
      <c r="P6" s="5"/>
    </row>
    <row r="7" spans="1:16" x14ac:dyDescent="0.2">
      <c r="A7" t="s">
        <v>11</v>
      </c>
      <c r="B7">
        <v>19</v>
      </c>
      <c r="C7" t="s">
        <v>6</v>
      </c>
      <c r="D7">
        <v>2</v>
      </c>
      <c r="E7" t="s">
        <v>20</v>
      </c>
      <c r="F7" t="s">
        <v>8</v>
      </c>
      <c r="G7" t="s">
        <v>8</v>
      </c>
      <c r="H7" t="s">
        <v>8</v>
      </c>
      <c r="I7" t="s">
        <v>9</v>
      </c>
      <c r="J7" t="s">
        <v>8</v>
      </c>
      <c r="K7" s="10" t="str">
        <f>IF(OR(G7="Yes", H7="Yes", I7="Yes"), "Problem", "No")</f>
        <v>Problem</v>
      </c>
      <c r="M7" s="5" t="s">
        <v>174</v>
      </c>
      <c r="N7" s="5">
        <f>COUNTIF(J2:J102,"Yes")</f>
        <v>6</v>
      </c>
      <c r="O7" s="5">
        <f>(N7/$P$4)*100</f>
        <v>6</v>
      </c>
      <c r="P7" s="5"/>
    </row>
    <row r="8" spans="1:16" x14ac:dyDescent="0.2">
      <c r="A8" t="s">
        <v>5</v>
      </c>
      <c r="B8">
        <v>23</v>
      </c>
      <c r="C8" t="s">
        <v>22</v>
      </c>
      <c r="D8">
        <v>2</v>
      </c>
      <c r="E8" t="s">
        <v>23</v>
      </c>
      <c r="F8" t="s">
        <v>9</v>
      </c>
      <c r="G8" t="s">
        <v>9</v>
      </c>
      <c r="H8" t="s">
        <v>8</v>
      </c>
      <c r="I8" t="s">
        <v>9</v>
      </c>
      <c r="J8" t="s">
        <v>8</v>
      </c>
      <c r="K8" s="10" t="str">
        <f>IF(OR(G8="Yes", H8="Yes", I8="Yes"), "Problem", "No")</f>
        <v>Problem</v>
      </c>
      <c r="M8" s="9"/>
    </row>
    <row r="9" spans="1:16" x14ac:dyDescent="0.2">
      <c r="A9" t="s">
        <v>5</v>
      </c>
      <c r="B9">
        <v>18</v>
      </c>
      <c r="C9" t="s">
        <v>25</v>
      </c>
      <c r="D9">
        <v>1</v>
      </c>
      <c r="E9" t="s">
        <v>20</v>
      </c>
      <c r="F9" t="s">
        <v>8</v>
      </c>
      <c r="G9" t="s">
        <v>8</v>
      </c>
      <c r="H9" t="s">
        <v>9</v>
      </c>
      <c r="I9" t="s">
        <v>8</v>
      </c>
      <c r="J9" t="s">
        <v>8</v>
      </c>
      <c r="K9" s="10" t="str">
        <f>IF(OR(G9="Yes", H9="Yes", I9="Yes"), "Problem", "No")</f>
        <v>Problem</v>
      </c>
    </row>
    <row r="10" spans="1:16" x14ac:dyDescent="0.2">
      <c r="A10" t="s">
        <v>5</v>
      </c>
      <c r="B10">
        <v>19</v>
      </c>
      <c r="C10" t="s">
        <v>27</v>
      </c>
      <c r="D10">
        <v>2</v>
      </c>
      <c r="E10" t="s">
        <v>28</v>
      </c>
      <c r="F10" t="s">
        <v>8</v>
      </c>
      <c r="G10" t="s">
        <v>8</v>
      </c>
      <c r="H10" t="s">
        <v>8</v>
      </c>
      <c r="I10" t="s">
        <v>8</v>
      </c>
      <c r="J10" t="s">
        <v>8</v>
      </c>
      <c r="K10" s="10" t="str">
        <f>IF(OR(G10="Yes", H10="Yes", I10="Yes"), "Problem", "No")</f>
        <v>No</v>
      </c>
    </row>
    <row r="11" spans="1:16" x14ac:dyDescent="0.2">
      <c r="A11" t="s">
        <v>11</v>
      </c>
      <c r="B11">
        <v>18</v>
      </c>
      <c r="C11" t="s">
        <v>30</v>
      </c>
      <c r="D11">
        <v>1</v>
      </c>
      <c r="E11" t="s">
        <v>20</v>
      </c>
      <c r="F11" t="s">
        <v>8</v>
      </c>
      <c r="G11" t="s">
        <v>8</v>
      </c>
      <c r="H11" t="s">
        <v>9</v>
      </c>
      <c r="I11" t="s">
        <v>9</v>
      </c>
      <c r="J11" t="s">
        <v>8</v>
      </c>
      <c r="K11" s="10" t="str">
        <f>IF(OR(G11="Yes", H11="Yes", I11="Yes"), "Problem", "No")</f>
        <v>Problem</v>
      </c>
    </row>
    <row r="12" spans="1:16" x14ac:dyDescent="0.2">
      <c r="A12" t="s">
        <v>5</v>
      </c>
      <c r="B12">
        <v>20</v>
      </c>
      <c r="C12" t="s">
        <v>31</v>
      </c>
      <c r="D12">
        <v>1</v>
      </c>
      <c r="E12" t="s">
        <v>20</v>
      </c>
      <c r="F12" t="s">
        <v>8</v>
      </c>
      <c r="G12" t="s">
        <v>8</v>
      </c>
      <c r="H12" t="s">
        <v>8</v>
      </c>
      <c r="I12" t="s">
        <v>8</v>
      </c>
      <c r="J12" t="s">
        <v>8</v>
      </c>
      <c r="K12" s="10" t="str">
        <f>IF(OR(G12="Yes", H12="Yes", I12="Yes"), "Problem", "No")</f>
        <v>No</v>
      </c>
    </row>
    <row r="13" spans="1:16" x14ac:dyDescent="0.2">
      <c r="A13" t="s">
        <v>5</v>
      </c>
      <c r="B13">
        <v>24</v>
      </c>
      <c r="C13" t="s">
        <v>6</v>
      </c>
      <c r="D13">
        <v>3</v>
      </c>
      <c r="E13" t="s">
        <v>20</v>
      </c>
      <c r="F13" t="s">
        <v>9</v>
      </c>
      <c r="G13" t="s">
        <v>9</v>
      </c>
      <c r="H13" t="s">
        <v>8</v>
      </c>
      <c r="I13" t="s">
        <v>8</v>
      </c>
      <c r="J13" t="s">
        <v>8</v>
      </c>
      <c r="K13" s="10" t="str">
        <f>IF(OR(G13="Yes", H13="Yes", I13="Yes"), "Problem", "No")</f>
        <v>Problem</v>
      </c>
    </row>
    <row r="14" spans="1:16" x14ac:dyDescent="0.2">
      <c r="A14" t="s">
        <v>5</v>
      </c>
      <c r="B14">
        <v>18</v>
      </c>
      <c r="C14" t="s">
        <v>25</v>
      </c>
      <c r="D14">
        <v>1</v>
      </c>
      <c r="E14" t="s">
        <v>7</v>
      </c>
      <c r="F14" t="s">
        <v>8</v>
      </c>
      <c r="G14" t="s">
        <v>9</v>
      </c>
      <c r="H14" t="s">
        <v>8</v>
      </c>
      <c r="I14" t="s">
        <v>8</v>
      </c>
      <c r="J14" t="s">
        <v>8</v>
      </c>
      <c r="K14" s="10" t="str">
        <f>IF(OR(G14="Yes", H14="Yes", I14="Yes"), "Problem", "No")</f>
        <v>Problem</v>
      </c>
    </row>
    <row r="15" spans="1:16" x14ac:dyDescent="0.2">
      <c r="A15" t="s">
        <v>11</v>
      </c>
      <c r="B15">
        <v>19</v>
      </c>
      <c r="C15" t="s">
        <v>6</v>
      </c>
      <c r="D15">
        <v>1</v>
      </c>
      <c r="E15" t="s">
        <v>7</v>
      </c>
      <c r="F15" t="s">
        <v>8</v>
      </c>
      <c r="G15" t="s">
        <v>8</v>
      </c>
      <c r="H15" t="s">
        <v>8</v>
      </c>
      <c r="I15" t="s">
        <v>8</v>
      </c>
      <c r="J15" t="s">
        <v>8</v>
      </c>
      <c r="K15" s="10" t="str">
        <f>IF(OR(G15="Yes", H15="Yes", I15="Yes"), "Problem", "No")</f>
        <v>No</v>
      </c>
    </row>
    <row r="16" spans="1:16" x14ac:dyDescent="0.2">
      <c r="A16" t="s">
        <v>5</v>
      </c>
      <c r="B16">
        <v>18</v>
      </c>
      <c r="C16" t="s">
        <v>35</v>
      </c>
      <c r="D16">
        <v>2</v>
      </c>
      <c r="E16" t="s">
        <v>20</v>
      </c>
      <c r="F16" t="s">
        <v>8</v>
      </c>
      <c r="G16" t="s">
        <v>8</v>
      </c>
      <c r="H16" t="s">
        <v>9</v>
      </c>
      <c r="I16" t="s">
        <v>8</v>
      </c>
      <c r="J16" t="s">
        <v>8</v>
      </c>
      <c r="K16" s="10" t="str">
        <f>IF(OR(G16="Yes", H16="Yes", I16="Yes"), "Problem", "No")</f>
        <v>Problem</v>
      </c>
    </row>
    <row r="17" spans="1:11" x14ac:dyDescent="0.2">
      <c r="A17" t="s">
        <v>11</v>
      </c>
      <c r="B17">
        <v>24</v>
      </c>
      <c r="C17" t="s">
        <v>25</v>
      </c>
      <c r="D17">
        <v>3</v>
      </c>
      <c r="E17" t="s">
        <v>20</v>
      </c>
      <c r="F17" t="s">
        <v>8</v>
      </c>
      <c r="G17" t="s">
        <v>8</v>
      </c>
      <c r="H17" t="s">
        <v>8</v>
      </c>
      <c r="I17" t="s">
        <v>8</v>
      </c>
      <c r="J17" t="s">
        <v>8</v>
      </c>
      <c r="K17" s="10" t="str">
        <f>IF(OR(G17="Yes", H17="Yes", I17="Yes"), "Problem", "No")</f>
        <v>No</v>
      </c>
    </row>
    <row r="18" spans="1:11" x14ac:dyDescent="0.2">
      <c r="A18" t="s">
        <v>5</v>
      </c>
      <c r="B18">
        <v>24</v>
      </c>
      <c r="C18" t="s">
        <v>37</v>
      </c>
      <c r="D18">
        <v>3</v>
      </c>
      <c r="E18" t="s">
        <v>7</v>
      </c>
      <c r="F18" t="s">
        <v>8</v>
      </c>
      <c r="G18" t="s">
        <v>8</v>
      </c>
      <c r="H18" t="s">
        <v>8</v>
      </c>
      <c r="I18" t="s">
        <v>8</v>
      </c>
      <c r="J18" t="s">
        <v>8</v>
      </c>
      <c r="K18" s="10" t="str">
        <f>IF(OR(G18="Yes", H18="Yes", I18="Yes"), "Problem", "No")</f>
        <v>No</v>
      </c>
    </row>
    <row r="19" spans="1:11" x14ac:dyDescent="0.2">
      <c r="A19" t="s">
        <v>5</v>
      </c>
      <c r="B19">
        <v>24</v>
      </c>
      <c r="C19" t="s">
        <v>39</v>
      </c>
      <c r="D19">
        <v>4</v>
      </c>
      <c r="E19" t="s">
        <v>7</v>
      </c>
      <c r="F19" t="s">
        <v>9</v>
      </c>
      <c r="G19" t="s">
        <v>9</v>
      </c>
      <c r="H19" t="s">
        <v>9</v>
      </c>
      <c r="I19" t="s">
        <v>9</v>
      </c>
      <c r="J19" t="s">
        <v>8</v>
      </c>
      <c r="K19" s="10" t="str">
        <f>IF(OR(G19="Yes", H19="Yes", I19="Yes"), "Problem", "No")</f>
        <v>Problem</v>
      </c>
    </row>
    <row r="20" spans="1:11" x14ac:dyDescent="0.2">
      <c r="A20" t="s">
        <v>5</v>
      </c>
      <c r="B20">
        <v>20</v>
      </c>
      <c r="C20" t="s">
        <v>14</v>
      </c>
      <c r="D20">
        <v>2</v>
      </c>
      <c r="E20" t="s">
        <v>20</v>
      </c>
      <c r="F20" t="s">
        <v>8</v>
      </c>
      <c r="G20" t="s">
        <v>8</v>
      </c>
      <c r="H20" t="s">
        <v>9</v>
      </c>
      <c r="I20" t="s">
        <v>8</v>
      </c>
      <c r="J20" t="s">
        <v>8</v>
      </c>
      <c r="K20" s="10" t="str">
        <f>IF(OR(G20="Yes", H20="Yes", I20="Yes"), "Problem", "No")</f>
        <v>Problem</v>
      </c>
    </row>
    <row r="21" spans="1:11" x14ac:dyDescent="0.2">
      <c r="A21" t="s">
        <v>5</v>
      </c>
      <c r="B21">
        <v>18</v>
      </c>
      <c r="C21" t="s">
        <v>42</v>
      </c>
      <c r="D21">
        <v>2</v>
      </c>
      <c r="E21" t="s">
        <v>20</v>
      </c>
      <c r="F21" t="s">
        <v>9</v>
      </c>
      <c r="G21" t="s">
        <v>9</v>
      </c>
      <c r="H21" t="s">
        <v>9</v>
      </c>
      <c r="I21" t="s">
        <v>9</v>
      </c>
      <c r="J21" t="s">
        <v>8</v>
      </c>
      <c r="K21" s="10" t="str">
        <f>IF(OR(G21="Yes", H21="Yes", I21="Yes"), "Problem", "No")</f>
        <v>Problem</v>
      </c>
    </row>
    <row r="22" spans="1:11" x14ac:dyDescent="0.2">
      <c r="A22" t="s">
        <v>5</v>
      </c>
      <c r="B22">
        <v>19</v>
      </c>
      <c r="C22" t="s">
        <v>6</v>
      </c>
      <c r="D22">
        <v>1</v>
      </c>
      <c r="E22" t="s">
        <v>7</v>
      </c>
      <c r="F22" t="s">
        <v>8</v>
      </c>
      <c r="G22" t="s">
        <v>8</v>
      </c>
      <c r="H22" t="s">
        <v>8</v>
      </c>
      <c r="I22" t="s">
        <v>9</v>
      </c>
      <c r="J22" t="s">
        <v>8</v>
      </c>
      <c r="K22" s="10" t="str">
        <f>IF(OR(G22="Yes", H22="Yes", I22="Yes"), "Problem", "No")</f>
        <v>Problem</v>
      </c>
    </row>
    <row r="23" spans="1:11" x14ac:dyDescent="0.2">
      <c r="A23" t="s">
        <v>5</v>
      </c>
      <c r="B23">
        <v>18</v>
      </c>
      <c r="C23" t="s">
        <v>45</v>
      </c>
      <c r="D23">
        <v>2</v>
      </c>
      <c r="E23" t="s">
        <v>7</v>
      </c>
      <c r="F23" t="s">
        <v>8</v>
      </c>
      <c r="G23" t="s">
        <v>8</v>
      </c>
      <c r="H23" t="s">
        <v>8</v>
      </c>
      <c r="I23" t="s">
        <v>8</v>
      </c>
      <c r="J23" t="s">
        <v>8</v>
      </c>
      <c r="K23" s="10" t="str">
        <f>IF(OR(G23="Yes", H23="Yes", I23="Yes"), "Problem", "No")</f>
        <v>No</v>
      </c>
    </row>
    <row r="24" spans="1:11" x14ac:dyDescent="0.2">
      <c r="A24" t="s">
        <v>5</v>
      </c>
      <c r="B24">
        <v>24</v>
      </c>
      <c r="C24" t="s">
        <v>25</v>
      </c>
      <c r="D24">
        <v>1</v>
      </c>
      <c r="E24" t="s">
        <v>20</v>
      </c>
      <c r="F24" t="s">
        <v>8</v>
      </c>
      <c r="G24" t="s">
        <v>8</v>
      </c>
      <c r="H24" t="s">
        <v>8</v>
      </c>
      <c r="I24" t="s">
        <v>8</v>
      </c>
      <c r="J24" t="s">
        <v>8</v>
      </c>
      <c r="K24" s="10" t="str">
        <f>IF(OR(G24="Yes", H24="Yes", I24="Yes"), "Problem", "No")</f>
        <v>No</v>
      </c>
    </row>
    <row r="25" spans="1:11" x14ac:dyDescent="0.2">
      <c r="A25" t="s">
        <v>5</v>
      </c>
      <c r="B25">
        <v>24</v>
      </c>
      <c r="C25" t="s">
        <v>6</v>
      </c>
      <c r="D25">
        <v>1</v>
      </c>
      <c r="E25" t="s">
        <v>7</v>
      </c>
      <c r="F25" t="s">
        <v>8</v>
      </c>
      <c r="G25" t="s">
        <v>8</v>
      </c>
      <c r="H25" t="s">
        <v>8</v>
      </c>
      <c r="I25" t="s">
        <v>8</v>
      </c>
      <c r="J25" t="s">
        <v>8</v>
      </c>
      <c r="K25" s="10" t="str">
        <f>IF(OR(G25="Yes", H25="Yes", I25="Yes"), "Problem", "No")</f>
        <v>No</v>
      </c>
    </row>
    <row r="26" spans="1:11" x14ac:dyDescent="0.2">
      <c r="A26" t="s">
        <v>5</v>
      </c>
      <c r="B26">
        <v>23</v>
      </c>
      <c r="C26" t="s">
        <v>25</v>
      </c>
      <c r="D26">
        <v>3</v>
      </c>
      <c r="E26" t="s">
        <v>20</v>
      </c>
      <c r="F26" t="s">
        <v>8</v>
      </c>
      <c r="G26" t="s">
        <v>9</v>
      </c>
      <c r="H26" t="s">
        <v>9</v>
      </c>
      <c r="I26" t="s">
        <v>9</v>
      </c>
      <c r="J26" t="s">
        <v>8</v>
      </c>
      <c r="K26" s="10" t="str">
        <f>IF(OR(G26="Yes", H26="Yes", I26="Yes"), "Problem", "No")</f>
        <v>Problem</v>
      </c>
    </row>
    <row r="27" spans="1:11" x14ac:dyDescent="0.2">
      <c r="A27" t="s">
        <v>5</v>
      </c>
      <c r="B27">
        <v>18</v>
      </c>
      <c r="C27" t="s">
        <v>49</v>
      </c>
      <c r="D27">
        <v>1</v>
      </c>
      <c r="E27" t="s">
        <v>20</v>
      </c>
      <c r="F27" t="s">
        <v>8</v>
      </c>
      <c r="G27" t="s">
        <v>8</v>
      </c>
      <c r="H27" t="s">
        <v>8</v>
      </c>
      <c r="I27" t="s">
        <v>8</v>
      </c>
      <c r="J27" t="s">
        <v>8</v>
      </c>
      <c r="K27" s="10" t="str">
        <f>IF(OR(G27="Yes", H27="Yes", I27="Yes"), "Problem", "No")</f>
        <v>No</v>
      </c>
    </row>
    <row r="28" spans="1:11" x14ac:dyDescent="0.2">
      <c r="A28" t="s">
        <v>5</v>
      </c>
      <c r="B28">
        <v>19</v>
      </c>
      <c r="C28" t="s">
        <v>6</v>
      </c>
      <c r="D28">
        <v>1</v>
      </c>
      <c r="E28" t="s">
        <v>20</v>
      </c>
      <c r="F28" t="s">
        <v>8</v>
      </c>
      <c r="G28" t="s">
        <v>8</v>
      </c>
      <c r="H28" t="s">
        <v>8</v>
      </c>
      <c r="I28" t="s">
        <v>8</v>
      </c>
      <c r="J28" t="s">
        <v>8</v>
      </c>
      <c r="K28" s="10" t="str">
        <f>IF(OR(G28="Yes", H28="Yes", I28="Yes"), "Problem", "No")</f>
        <v>No</v>
      </c>
    </row>
    <row r="29" spans="1:11" x14ac:dyDescent="0.2">
      <c r="A29" t="s">
        <v>11</v>
      </c>
      <c r="B29">
        <v>18</v>
      </c>
      <c r="C29" t="s">
        <v>6</v>
      </c>
      <c r="D29">
        <v>2</v>
      </c>
      <c r="E29" t="s">
        <v>7</v>
      </c>
      <c r="F29" t="s">
        <v>9</v>
      </c>
      <c r="G29" t="s">
        <v>9</v>
      </c>
      <c r="H29" t="s">
        <v>9</v>
      </c>
      <c r="I29" t="s">
        <v>8</v>
      </c>
      <c r="J29" t="s">
        <v>8</v>
      </c>
      <c r="K29" s="10" t="str">
        <f>IF(OR(G29="Yes", H29="Yes", I29="Yes"), "Problem", "No")</f>
        <v>Problem</v>
      </c>
    </row>
    <row r="30" spans="1:11" x14ac:dyDescent="0.2">
      <c r="A30" t="s">
        <v>5</v>
      </c>
      <c r="B30">
        <v>24</v>
      </c>
      <c r="C30" t="s">
        <v>14</v>
      </c>
      <c r="D30">
        <v>3</v>
      </c>
      <c r="E30" t="s">
        <v>20</v>
      </c>
      <c r="F30" t="s">
        <v>9</v>
      </c>
      <c r="G30" t="s">
        <v>9</v>
      </c>
      <c r="H30" t="s">
        <v>9</v>
      </c>
      <c r="I30" t="s">
        <v>9</v>
      </c>
      <c r="J30" t="s">
        <v>9</v>
      </c>
      <c r="K30" s="10" t="str">
        <f>IF(OR(G30="Yes", H30="Yes", I30="Yes"), "Problem", "No")</f>
        <v>Problem</v>
      </c>
    </row>
    <row r="31" spans="1:11" x14ac:dyDescent="0.2">
      <c r="A31" t="s">
        <v>5</v>
      </c>
      <c r="B31">
        <v>24</v>
      </c>
      <c r="C31" t="s">
        <v>25</v>
      </c>
      <c r="D31">
        <v>4</v>
      </c>
      <c r="E31" t="s">
        <v>20</v>
      </c>
      <c r="F31" t="s">
        <v>8</v>
      </c>
      <c r="G31" t="s">
        <v>8</v>
      </c>
      <c r="H31" t="s">
        <v>8</v>
      </c>
      <c r="I31" t="s">
        <v>8</v>
      </c>
      <c r="J31" t="s">
        <v>8</v>
      </c>
      <c r="K31" s="10" t="str">
        <f>IF(OR(G31="Yes", H31="Yes", I31="Yes"), "Problem", "No")</f>
        <v>No</v>
      </c>
    </row>
    <row r="32" spans="1:11" x14ac:dyDescent="0.2">
      <c r="A32" t="s">
        <v>5</v>
      </c>
      <c r="B32">
        <v>23</v>
      </c>
      <c r="C32" t="s">
        <v>55</v>
      </c>
      <c r="D32">
        <v>2</v>
      </c>
      <c r="E32" t="s">
        <v>7</v>
      </c>
      <c r="F32" t="s">
        <v>8</v>
      </c>
      <c r="G32" t="s">
        <v>8</v>
      </c>
      <c r="H32" t="s">
        <v>8</v>
      </c>
      <c r="I32" t="s">
        <v>8</v>
      </c>
      <c r="J32" t="s">
        <v>8</v>
      </c>
      <c r="K32" s="10" t="str">
        <f>IF(OR(G32="Yes", H32="Yes", I32="Yes"), "Problem", "No")</f>
        <v>No</v>
      </c>
    </row>
    <row r="33" spans="1:11" x14ac:dyDescent="0.2">
      <c r="A33" t="s">
        <v>11</v>
      </c>
      <c r="B33">
        <v>18</v>
      </c>
      <c r="C33" t="s">
        <v>25</v>
      </c>
      <c r="D33">
        <v>2</v>
      </c>
      <c r="E33" t="s">
        <v>7</v>
      </c>
      <c r="F33" t="s">
        <v>8</v>
      </c>
      <c r="G33" t="s">
        <v>8</v>
      </c>
      <c r="H33" t="s">
        <v>8</v>
      </c>
      <c r="I33" t="s">
        <v>8</v>
      </c>
      <c r="J33" t="s">
        <v>8</v>
      </c>
      <c r="K33" s="10" t="str">
        <f>IF(OR(G33="Yes", H33="Yes", I33="Yes"), "Problem", "No")</f>
        <v>No</v>
      </c>
    </row>
    <row r="34" spans="1:11" x14ac:dyDescent="0.2">
      <c r="A34" t="s">
        <v>11</v>
      </c>
      <c r="B34">
        <v>19</v>
      </c>
      <c r="C34" t="s">
        <v>25</v>
      </c>
      <c r="D34">
        <v>1</v>
      </c>
      <c r="E34" t="s">
        <v>20</v>
      </c>
      <c r="F34" t="s">
        <v>8</v>
      </c>
      <c r="G34" t="s">
        <v>8</v>
      </c>
      <c r="H34" t="s">
        <v>8</v>
      </c>
      <c r="I34" t="s">
        <v>9</v>
      </c>
      <c r="J34" t="s">
        <v>8</v>
      </c>
      <c r="K34" s="10" t="str">
        <f>IF(OR(G34="Yes", H34="Yes", I34="Yes"), "Problem", "No")</f>
        <v>Problem</v>
      </c>
    </row>
    <row r="35" spans="1:11" x14ac:dyDescent="0.2">
      <c r="A35" t="s">
        <v>11</v>
      </c>
      <c r="B35">
        <v>18</v>
      </c>
      <c r="C35" t="s">
        <v>25</v>
      </c>
      <c r="D35">
        <v>2</v>
      </c>
      <c r="E35" t="s">
        <v>20</v>
      </c>
      <c r="F35" t="s">
        <v>9</v>
      </c>
      <c r="G35" t="s">
        <v>9</v>
      </c>
      <c r="H35" t="s">
        <v>9</v>
      </c>
      <c r="I35" t="s">
        <v>8</v>
      </c>
      <c r="J35" t="s">
        <v>9</v>
      </c>
      <c r="K35" s="10" t="str">
        <f>IF(OR(G35="Yes", H35="Yes", I35="Yes"), "Problem", "No")</f>
        <v>Problem</v>
      </c>
    </row>
    <row r="36" spans="1:11" x14ac:dyDescent="0.2">
      <c r="A36" t="s">
        <v>5</v>
      </c>
      <c r="B36">
        <v>19</v>
      </c>
      <c r="C36" t="s">
        <v>14</v>
      </c>
      <c r="D36">
        <v>1</v>
      </c>
      <c r="E36" t="s">
        <v>7</v>
      </c>
      <c r="F36" t="s">
        <v>8</v>
      </c>
      <c r="G36" t="s">
        <v>9</v>
      </c>
      <c r="H36" t="s">
        <v>9</v>
      </c>
      <c r="I36" t="s">
        <v>9</v>
      </c>
      <c r="J36" t="s">
        <v>8</v>
      </c>
      <c r="K36" s="10" t="str">
        <f>IF(OR(G36="Yes", H36="Yes", I36="Yes"), "Problem", "No")</f>
        <v>Problem</v>
      </c>
    </row>
    <row r="37" spans="1:11" x14ac:dyDescent="0.2">
      <c r="A37" t="s">
        <v>5</v>
      </c>
      <c r="B37">
        <v>18</v>
      </c>
      <c r="C37" t="s">
        <v>6</v>
      </c>
      <c r="D37">
        <v>1</v>
      </c>
      <c r="E37" t="s">
        <v>60</v>
      </c>
      <c r="F37" t="s">
        <v>8</v>
      </c>
      <c r="G37" t="s">
        <v>8</v>
      </c>
      <c r="H37" t="s">
        <v>8</v>
      </c>
      <c r="I37" t="s">
        <v>8</v>
      </c>
      <c r="J37" t="s">
        <v>8</v>
      </c>
      <c r="K37" s="10" t="str">
        <f>IF(OR(G37="Yes", H37="Yes", I37="Yes"), "Problem", "No")</f>
        <v>No</v>
      </c>
    </row>
    <row r="38" spans="1:11" x14ac:dyDescent="0.2">
      <c r="A38" t="s">
        <v>5</v>
      </c>
      <c r="B38">
        <v>18</v>
      </c>
      <c r="C38" t="s">
        <v>61</v>
      </c>
      <c r="D38">
        <v>3</v>
      </c>
      <c r="E38" t="s">
        <v>7</v>
      </c>
      <c r="F38" t="s">
        <v>8</v>
      </c>
      <c r="G38" t="s">
        <v>9</v>
      </c>
      <c r="H38" t="s">
        <v>9</v>
      </c>
      <c r="I38" t="s">
        <v>8</v>
      </c>
      <c r="J38" t="s">
        <v>8</v>
      </c>
      <c r="K38" s="10" t="str">
        <f>IF(OR(G38="Yes", H38="Yes", I38="Yes"), "Problem", "No")</f>
        <v>Problem</v>
      </c>
    </row>
    <row r="39" spans="1:11" x14ac:dyDescent="0.2">
      <c r="A39" t="s">
        <v>5</v>
      </c>
      <c r="B39">
        <v>19</v>
      </c>
      <c r="C39" t="s">
        <v>14</v>
      </c>
      <c r="D39">
        <v>1</v>
      </c>
      <c r="E39" t="s">
        <v>28</v>
      </c>
      <c r="F39" t="s">
        <v>8</v>
      </c>
      <c r="G39" t="s">
        <v>9</v>
      </c>
      <c r="H39" t="s">
        <v>9</v>
      </c>
      <c r="I39" t="s">
        <v>9</v>
      </c>
      <c r="J39" t="s">
        <v>8</v>
      </c>
      <c r="K39" s="10" t="str">
        <f>IF(OR(G39="Yes", H39="Yes", I39="Yes"), "Problem", "No")</f>
        <v>Problem</v>
      </c>
    </row>
    <row r="40" spans="1:11" x14ac:dyDescent="0.2">
      <c r="A40" t="s">
        <v>5</v>
      </c>
      <c r="B40">
        <v>18</v>
      </c>
      <c r="C40" t="s">
        <v>64</v>
      </c>
      <c r="D40">
        <v>1</v>
      </c>
      <c r="E40" t="s">
        <v>20</v>
      </c>
      <c r="F40" t="s">
        <v>8</v>
      </c>
      <c r="G40" t="s">
        <v>8</v>
      </c>
      <c r="H40" t="s">
        <v>8</v>
      </c>
      <c r="I40" t="s">
        <v>8</v>
      </c>
      <c r="J40" t="s">
        <v>8</v>
      </c>
      <c r="K40" s="10" t="str">
        <f>IF(OR(G40="Yes", H40="Yes", I40="Yes"), "Problem", "No")</f>
        <v>No</v>
      </c>
    </row>
    <row r="41" spans="1:11" x14ac:dyDescent="0.2">
      <c r="A41" t="s">
        <v>5</v>
      </c>
      <c r="B41">
        <v>24</v>
      </c>
      <c r="C41" t="s">
        <v>6</v>
      </c>
      <c r="D41">
        <v>2</v>
      </c>
      <c r="E41" t="s">
        <v>28</v>
      </c>
      <c r="F41" t="s">
        <v>9</v>
      </c>
      <c r="G41" t="s">
        <v>9</v>
      </c>
      <c r="H41" t="s">
        <v>8</v>
      </c>
      <c r="I41" t="s">
        <v>9</v>
      </c>
      <c r="J41" t="s">
        <v>9</v>
      </c>
      <c r="K41" s="10" t="str">
        <f>IF(OR(G41="Yes", H41="Yes", I41="Yes"), "Problem", "No")</f>
        <v>Problem</v>
      </c>
    </row>
    <row r="42" spans="1:11" x14ac:dyDescent="0.2">
      <c r="A42" t="s">
        <v>5</v>
      </c>
      <c r="B42">
        <v>24</v>
      </c>
      <c r="C42" t="s">
        <v>14</v>
      </c>
      <c r="D42">
        <v>3</v>
      </c>
      <c r="E42" t="s">
        <v>7</v>
      </c>
      <c r="F42" t="s">
        <v>8</v>
      </c>
      <c r="G42" t="s">
        <v>8</v>
      </c>
      <c r="H42" t="s">
        <v>9</v>
      </c>
      <c r="I42" t="s">
        <v>8</v>
      </c>
      <c r="J42" t="s">
        <v>8</v>
      </c>
      <c r="K42" s="10" t="str">
        <f>IF(OR(G42="Yes", H42="Yes", I42="Yes"), "Problem", "No")</f>
        <v>Problem</v>
      </c>
    </row>
    <row r="43" spans="1:11" x14ac:dyDescent="0.2">
      <c r="A43" t="s">
        <v>5</v>
      </c>
      <c r="B43">
        <v>22</v>
      </c>
      <c r="C43" t="s">
        <v>6</v>
      </c>
      <c r="D43">
        <v>4</v>
      </c>
      <c r="E43" t="s">
        <v>20</v>
      </c>
      <c r="F43" t="s">
        <v>8</v>
      </c>
      <c r="G43" t="s">
        <v>8</v>
      </c>
      <c r="H43" t="s">
        <v>8</v>
      </c>
      <c r="I43" t="s">
        <v>8</v>
      </c>
      <c r="J43" t="s">
        <v>8</v>
      </c>
      <c r="K43" s="10" t="str">
        <f>IF(OR(G43="Yes", H43="Yes", I43="Yes"), "Problem", "No")</f>
        <v>No</v>
      </c>
    </row>
    <row r="44" spans="1:11" x14ac:dyDescent="0.2">
      <c r="A44" t="s">
        <v>5</v>
      </c>
      <c r="B44">
        <v>20</v>
      </c>
      <c r="C44" t="s">
        <v>68</v>
      </c>
      <c r="D44">
        <v>2</v>
      </c>
      <c r="E44" t="s">
        <v>7</v>
      </c>
      <c r="F44" t="s">
        <v>8</v>
      </c>
      <c r="G44" t="s">
        <v>9</v>
      </c>
      <c r="H44" t="s">
        <v>8</v>
      </c>
      <c r="I44" t="s">
        <v>8</v>
      </c>
      <c r="J44" t="s">
        <v>8</v>
      </c>
      <c r="K44" s="10" t="str">
        <f>IF(OR(G44="Yes", H44="Yes", I44="Yes"), "Problem", "No")</f>
        <v>Problem</v>
      </c>
    </row>
    <row r="45" spans="1:11" x14ac:dyDescent="0.2">
      <c r="A45" t="s">
        <v>11</v>
      </c>
      <c r="B45" t="s">
        <v>155</v>
      </c>
      <c r="C45" t="s">
        <v>14</v>
      </c>
      <c r="D45">
        <v>1</v>
      </c>
      <c r="E45" t="s">
        <v>70</v>
      </c>
      <c r="F45" t="s">
        <v>8</v>
      </c>
      <c r="G45" t="s">
        <v>8</v>
      </c>
      <c r="H45" t="s">
        <v>8</v>
      </c>
      <c r="I45" t="s">
        <v>8</v>
      </c>
      <c r="J45" t="s">
        <v>8</v>
      </c>
      <c r="K45" s="10" t="str">
        <f>IF(OR(G45="Yes", H45="Yes", I45="Yes"), "Problem", "No")</f>
        <v>No</v>
      </c>
    </row>
    <row r="46" spans="1:11" x14ac:dyDescent="0.2">
      <c r="A46" t="s">
        <v>11</v>
      </c>
      <c r="B46">
        <v>23</v>
      </c>
      <c r="C46" t="s">
        <v>72</v>
      </c>
      <c r="D46">
        <v>2</v>
      </c>
      <c r="E46" t="s">
        <v>20</v>
      </c>
      <c r="F46" t="s">
        <v>8</v>
      </c>
      <c r="G46" t="s">
        <v>8</v>
      </c>
      <c r="H46" t="s">
        <v>8</v>
      </c>
      <c r="I46" t="s">
        <v>9</v>
      </c>
      <c r="J46" t="s">
        <v>8</v>
      </c>
      <c r="K46" s="10" t="str">
        <f>IF(OR(G46="Yes", H46="Yes", I46="Yes"), "Problem", "No")</f>
        <v>Problem</v>
      </c>
    </row>
    <row r="47" spans="1:11" x14ac:dyDescent="0.2">
      <c r="A47" t="s">
        <v>11</v>
      </c>
      <c r="B47">
        <v>18</v>
      </c>
      <c r="C47" t="s">
        <v>25</v>
      </c>
      <c r="D47">
        <v>1</v>
      </c>
      <c r="E47" t="s">
        <v>20</v>
      </c>
      <c r="F47" t="s">
        <v>8</v>
      </c>
      <c r="G47" t="s">
        <v>8</v>
      </c>
      <c r="H47" t="s">
        <v>9</v>
      </c>
      <c r="I47" t="s">
        <v>9</v>
      </c>
      <c r="J47" t="s">
        <v>8</v>
      </c>
      <c r="K47" s="10" t="str">
        <f>IF(OR(G47="Yes", H47="Yes", I47="Yes"), "Problem", "No")</f>
        <v>Problem</v>
      </c>
    </row>
    <row r="48" spans="1:11" x14ac:dyDescent="0.2">
      <c r="A48" t="s">
        <v>5</v>
      </c>
      <c r="B48">
        <v>19</v>
      </c>
      <c r="C48" t="s">
        <v>6</v>
      </c>
      <c r="D48">
        <v>1</v>
      </c>
      <c r="E48" t="s">
        <v>20</v>
      </c>
      <c r="F48" t="s">
        <v>8</v>
      </c>
      <c r="G48" t="s">
        <v>8</v>
      </c>
      <c r="H48" t="s">
        <v>9</v>
      </c>
      <c r="I48" t="s">
        <v>8</v>
      </c>
      <c r="J48" t="s">
        <v>8</v>
      </c>
      <c r="K48" s="10" t="str">
        <f>IF(OR(G48="Yes", H48="Yes", I48="Yes"), "Problem", "No")</f>
        <v>Problem</v>
      </c>
    </row>
    <row r="49" spans="1:11" x14ac:dyDescent="0.2">
      <c r="A49" t="s">
        <v>5</v>
      </c>
      <c r="B49">
        <v>18</v>
      </c>
      <c r="C49" t="s">
        <v>76</v>
      </c>
      <c r="D49">
        <v>4</v>
      </c>
      <c r="E49" t="s">
        <v>20</v>
      </c>
      <c r="F49" t="s">
        <v>8</v>
      </c>
      <c r="G49" t="s">
        <v>8</v>
      </c>
      <c r="H49" t="s">
        <v>8</v>
      </c>
      <c r="I49" t="s">
        <v>8</v>
      </c>
      <c r="J49" t="s">
        <v>8</v>
      </c>
      <c r="K49" s="10" t="str">
        <f>IF(OR(G49="Yes", H49="Yes", I49="Yes"), "Problem", "No")</f>
        <v>No</v>
      </c>
    </row>
    <row r="50" spans="1:11" x14ac:dyDescent="0.2">
      <c r="A50" t="s">
        <v>11</v>
      </c>
      <c r="B50">
        <v>24</v>
      </c>
      <c r="C50" t="s">
        <v>25</v>
      </c>
      <c r="D50">
        <v>2</v>
      </c>
      <c r="E50" t="s">
        <v>7</v>
      </c>
      <c r="F50" t="s">
        <v>8</v>
      </c>
      <c r="G50" t="s">
        <v>9</v>
      </c>
      <c r="H50" t="s">
        <v>8</v>
      </c>
      <c r="I50" t="s">
        <v>8</v>
      </c>
      <c r="J50" t="s">
        <v>8</v>
      </c>
      <c r="K50" s="10" t="str">
        <f>IF(OR(G50="Yes", H50="Yes", I50="Yes"), "Problem", "No")</f>
        <v>Problem</v>
      </c>
    </row>
    <row r="51" spans="1:11" x14ac:dyDescent="0.2">
      <c r="A51" t="s">
        <v>5</v>
      </c>
      <c r="B51">
        <v>24</v>
      </c>
      <c r="C51" t="s">
        <v>25</v>
      </c>
      <c r="D51">
        <v>3</v>
      </c>
      <c r="E51" t="s">
        <v>20</v>
      </c>
      <c r="F51" t="s">
        <v>8</v>
      </c>
      <c r="G51" t="s">
        <v>8</v>
      </c>
      <c r="H51" t="s">
        <v>8</v>
      </c>
      <c r="I51" t="s">
        <v>9</v>
      </c>
      <c r="J51" t="s">
        <v>8</v>
      </c>
      <c r="K51" s="10" t="str">
        <f>IF(OR(G51="Yes", H51="Yes", I51="Yes"), "Problem", "No")</f>
        <v>Problem</v>
      </c>
    </row>
    <row r="52" spans="1:11" x14ac:dyDescent="0.2">
      <c r="A52" t="s">
        <v>5</v>
      </c>
      <c r="B52">
        <v>23</v>
      </c>
      <c r="C52" t="s">
        <v>79</v>
      </c>
      <c r="D52">
        <v>1</v>
      </c>
      <c r="E52" t="s">
        <v>28</v>
      </c>
      <c r="F52" t="s">
        <v>9</v>
      </c>
      <c r="G52" t="s">
        <v>9</v>
      </c>
      <c r="H52" t="s">
        <v>8</v>
      </c>
      <c r="I52" t="s">
        <v>9</v>
      </c>
      <c r="J52" t="s">
        <v>9</v>
      </c>
      <c r="K52" s="10" t="str">
        <f>IF(OR(G52="Yes", H52="Yes", I52="Yes"), "Problem", "No")</f>
        <v>Problem</v>
      </c>
    </row>
    <row r="53" spans="1:11" x14ac:dyDescent="0.2">
      <c r="A53" t="s">
        <v>5</v>
      </c>
      <c r="B53">
        <v>18</v>
      </c>
      <c r="C53" t="s">
        <v>25</v>
      </c>
      <c r="D53">
        <v>2</v>
      </c>
      <c r="E53" t="s">
        <v>20</v>
      </c>
      <c r="F53" t="s">
        <v>8</v>
      </c>
      <c r="G53" t="s">
        <v>8</v>
      </c>
      <c r="H53" t="s">
        <v>9</v>
      </c>
      <c r="I53" t="s">
        <v>8</v>
      </c>
      <c r="J53" t="s">
        <v>8</v>
      </c>
      <c r="K53" s="10" t="str">
        <f>IF(OR(G53="Yes", H53="Yes", I53="Yes"), "Problem", "No")</f>
        <v>Problem</v>
      </c>
    </row>
    <row r="54" spans="1:11" x14ac:dyDescent="0.2">
      <c r="A54" t="s">
        <v>5</v>
      </c>
      <c r="B54">
        <v>19</v>
      </c>
      <c r="C54" t="s">
        <v>82</v>
      </c>
      <c r="D54">
        <v>3</v>
      </c>
      <c r="E54" t="s">
        <v>7</v>
      </c>
      <c r="F54" t="s">
        <v>8</v>
      </c>
      <c r="G54" t="s">
        <v>8</v>
      </c>
      <c r="H54" t="s">
        <v>8</v>
      </c>
      <c r="I54" t="s">
        <v>8</v>
      </c>
      <c r="J54" t="s">
        <v>8</v>
      </c>
      <c r="K54" s="10" t="str">
        <f>IF(OR(G54="Yes", H54="Yes", I54="Yes"), "Problem", "No")</f>
        <v>No</v>
      </c>
    </row>
    <row r="55" spans="1:11" x14ac:dyDescent="0.2">
      <c r="A55" t="s">
        <v>5</v>
      </c>
      <c r="B55">
        <v>20</v>
      </c>
      <c r="C55" t="s">
        <v>84</v>
      </c>
      <c r="D55">
        <v>3</v>
      </c>
      <c r="E55" t="s">
        <v>7</v>
      </c>
      <c r="F55" t="s">
        <v>9</v>
      </c>
      <c r="G55" t="s">
        <v>9</v>
      </c>
      <c r="H55" t="s">
        <v>9</v>
      </c>
      <c r="I55" t="s">
        <v>9</v>
      </c>
      <c r="J55" t="s">
        <v>8</v>
      </c>
      <c r="K55" s="10" t="str">
        <f>IF(OR(G55="Yes", H55="Yes", I55="Yes"), "Problem", "No")</f>
        <v>Problem</v>
      </c>
    </row>
    <row r="56" spans="1:11" x14ac:dyDescent="0.2">
      <c r="A56" t="s">
        <v>5</v>
      </c>
      <c r="B56">
        <v>19</v>
      </c>
      <c r="C56" t="s">
        <v>25</v>
      </c>
      <c r="D56">
        <v>1</v>
      </c>
      <c r="E56" t="s">
        <v>20</v>
      </c>
      <c r="F56" t="s">
        <v>8</v>
      </c>
      <c r="G56" t="s">
        <v>9</v>
      </c>
      <c r="H56" t="s">
        <v>8</v>
      </c>
      <c r="I56" t="s">
        <v>9</v>
      </c>
      <c r="J56" t="s">
        <v>9</v>
      </c>
      <c r="K56" s="10" t="str">
        <f>IF(OR(G56="Yes", H56="Yes", I56="Yes"), "Problem", "No")</f>
        <v>Problem</v>
      </c>
    </row>
    <row r="57" spans="1:11" x14ac:dyDescent="0.2">
      <c r="A57" t="s">
        <v>11</v>
      </c>
      <c r="B57">
        <v>21</v>
      </c>
      <c r="C57" t="s">
        <v>25</v>
      </c>
      <c r="D57">
        <v>1</v>
      </c>
      <c r="E57" t="s">
        <v>7</v>
      </c>
      <c r="F57" t="s">
        <v>8</v>
      </c>
      <c r="G57" t="s">
        <v>8</v>
      </c>
      <c r="H57" t="s">
        <v>8</v>
      </c>
      <c r="I57" t="s">
        <v>8</v>
      </c>
      <c r="J57" t="s">
        <v>8</v>
      </c>
      <c r="K57" s="10" t="str">
        <f>IF(OR(G57="Yes", H57="Yes", I57="Yes"), "Problem", "No")</f>
        <v>No</v>
      </c>
    </row>
    <row r="58" spans="1:11" x14ac:dyDescent="0.2">
      <c r="A58" t="s">
        <v>11</v>
      </c>
      <c r="B58">
        <v>23</v>
      </c>
      <c r="C58" t="s">
        <v>88</v>
      </c>
      <c r="D58">
        <v>3</v>
      </c>
      <c r="E58" t="s">
        <v>20</v>
      </c>
      <c r="F58" t="s">
        <v>8</v>
      </c>
      <c r="G58" t="s">
        <v>8</v>
      </c>
      <c r="H58" t="s">
        <v>8</v>
      </c>
      <c r="I58" t="s">
        <v>8</v>
      </c>
      <c r="J58" t="s">
        <v>8</v>
      </c>
      <c r="K58" s="10" t="str">
        <f>IF(OR(G58="Yes", H58="Yes", I58="Yes"), "Problem", "No")</f>
        <v>No</v>
      </c>
    </row>
    <row r="59" spans="1:11" x14ac:dyDescent="0.2">
      <c r="A59" t="s">
        <v>5</v>
      </c>
      <c r="B59">
        <v>20</v>
      </c>
      <c r="C59" t="s">
        <v>90</v>
      </c>
      <c r="D59">
        <v>3</v>
      </c>
      <c r="E59" t="s">
        <v>7</v>
      </c>
      <c r="F59" t="s">
        <v>8</v>
      </c>
      <c r="G59" t="s">
        <v>9</v>
      </c>
      <c r="H59" t="s">
        <v>9</v>
      </c>
      <c r="I59" t="s">
        <v>8</v>
      </c>
      <c r="J59" t="s">
        <v>8</v>
      </c>
      <c r="K59" s="10" t="str">
        <f>IF(OR(G59="Yes", H59="Yes", I59="Yes"), "Problem", "No")</f>
        <v>Problem</v>
      </c>
    </row>
    <row r="60" spans="1:11" x14ac:dyDescent="0.2">
      <c r="A60" t="s">
        <v>5</v>
      </c>
      <c r="B60">
        <v>18</v>
      </c>
      <c r="C60" t="s">
        <v>25</v>
      </c>
      <c r="D60">
        <v>1</v>
      </c>
      <c r="E60" t="s">
        <v>20</v>
      </c>
      <c r="F60" t="s">
        <v>8</v>
      </c>
      <c r="G60" t="s">
        <v>8</v>
      </c>
      <c r="H60" t="s">
        <v>8</v>
      </c>
      <c r="I60" t="s">
        <v>8</v>
      </c>
      <c r="J60" t="s">
        <v>8</v>
      </c>
      <c r="K60" s="10" t="str">
        <f>IF(OR(G60="Yes", H60="Yes", I60="Yes"), "Problem", "No")</f>
        <v>No</v>
      </c>
    </row>
    <row r="61" spans="1:11" x14ac:dyDescent="0.2">
      <c r="A61" t="s">
        <v>5</v>
      </c>
      <c r="B61">
        <v>23</v>
      </c>
      <c r="C61" t="s">
        <v>93</v>
      </c>
      <c r="D61">
        <v>1</v>
      </c>
      <c r="E61" t="s">
        <v>7</v>
      </c>
      <c r="F61" t="s">
        <v>8</v>
      </c>
      <c r="G61" t="s">
        <v>8</v>
      </c>
      <c r="H61" t="s">
        <v>8</v>
      </c>
      <c r="I61" t="s">
        <v>8</v>
      </c>
      <c r="J61" t="s">
        <v>8</v>
      </c>
      <c r="K61" s="10" t="str">
        <f>IF(OR(G61="Yes", H61="Yes", I61="Yes"), "Problem", "No")</f>
        <v>No</v>
      </c>
    </row>
    <row r="62" spans="1:11" x14ac:dyDescent="0.2">
      <c r="A62" t="s">
        <v>5</v>
      </c>
      <c r="B62">
        <v>18</v>
      </c>
      <c r="C62" t="s">
        <v>94</v>
      </c>
      <c r="D62">
        <v>3</v>
      </c>
      <c r="E62" t="s">
        <v>7</v>
      </c>
      <c r="F62" t="s">
        <v>8</v>
      </c>
      <c r="G62" t="s">
        <v>8</v>
      </c>
      <c r="H62" t="s">
        <v>8</v>
      </c>
      <c r="I62" t="s">
        <v>9</v>
      </c>
      <c r="J62" t="s">
        <v>8</v>
      </c>
      <c r="K62" s="10" t="str">
        <f>IF(OR(G62="Yes", H62="Yes", I62="Yes"), "Problem", "No")</f>
        <v>Problem</v>
      </c>
    </row>
    <row r="63" spans="1:11" x14ac:dyDescent="0.2">
      <c r="A63" t="s">
        <v>5</v>
      </c>
      <c r="B63">
        <v>19</v>
      </c>
      <c r="C63" t="s">
        <v>25</v>
      </c>
      <c r="D63">
        <v>1</v>
      </c>
      <c r="E63" t="s">
        <v>20</v>
      </c>
      <c r="F63" t="s">
        <v>8</v>
      </c>
      <c r="G63" t="s">
        <v>8</v>
      </c>
      <c r="H63" t="s">
        <v>8</v>
      </c>
      <c r="I63" t="s">
        <v>8</v>
      </c>
      <c r="J63" t="s">
        <v>8</v>
      </c>
      <c r="K63" s="10" t="str">
        <f>IF(OR(G63="Yes", H63="Yes", I63="Yes"), "Problem", "No")</f>
        <v>No</v>
      </c>
    </row>
    <row r="64" spans="1:11" x14ac:dyDescent="0.2">
      <c r="A64" t="s">
        <v>5</v>
      </c>
      <c r="B64">
        <v>18</v>
      </c>
      <c r="C64" t="s">
        <v>97</v>
      </c>
      <c r="D64">
        <v>1</v>
      </c>
      <c r="E64" t="s">
        <v>20</v>
      </c>
      <c r="F64" t="s">
        <v>8</v>
      </c>
      <c r="G64" t="s">
        <v>8</v>
      </c>
      <c r="H64" t="s">
        <v>8</v>
      </c>
      <c r="I64" t="s">
        <v>9</v>
      </c>
      <c r="J64" t="s">
        <v>8</v>
      </c>
      <c r="K64" s="10" t="str">
        <f>IF(OR(G64="Yes", H64="Yes", I64="Yes"), "Problem", "No")</f>
        <v>Problem</v>
      </c>
    </row>
    <row r="65" spans="1:11" x14ac:dyDescent="0.2">
      <c r="A65" t="s">
        <v>5</v>
      </c>
      <c r="B65">
        <v>24</v>
      </c>
      <c r="C65" t="s">
        <v>99</v>
      </c>
      <c r="D65">
        <v>1</v>
      </c>
      <c r="E65" t="s">
        <v>20</v>
      </c>
      <c r="F65" t="s">
        <v>8</v>
      </c>
      <c r="G65" t="s">
        <v>8</v>
      </c>
      <c r="H65" t="s">
        <v>8</v>
      </c>
      <c r="I65" t="s">
        <v>9</v>
      </c>
      <c r="J65" t="s">
        <v>8</v>
      </c>
      <c r="K65" s="10" t="str">
        <f>IF(OR(G65="Yes", H65="Yes", I65="Yes"), "Problem", "No")</f>
        <v>Problem</v>
      </c>
    </row>
    <row r="66" spans="1:11" x14ac:dyDescent="0.2">
      <c r="A66" t="s">
        <v>5</v>
      </c>
      <c r="B66">
        <v>24</v>
      </c>
      <c r="C66" t="s">
        <v>76</v>
      </c>
      <c r="D66">
        <v>1</v>
      </c>
      <c r="E66" t="s">
        <v>20</v>
      </c>
      <c r="F66" t="s">
        <v>8</v>
      </c>
      <c r="G66" t="s">
        <v>8</v>
      </c>
      <c r="H66" t="s">
        <v>8</v>
      </c>
      <c r="I66" t="s">
        <v>8</v>
      </c>
      <c r="J66" t="s">
        <v>8</v>
      </c>
      <c r="K66" s="10" t="str">
        <f>IF(OR(G66="Yes", H66="Yes", I66="Yes"), "Problem", "No")</f>
        <v>No</v>
      </c>
    </row>
    <row r="67" spans="1:11" x14ac:dyDescent="0.2">
      <c r="A67" t="s">
        <v>5</v>
      </c>
      <c r="B67">
        <v>23</v>
      </c>
      <c r="C67" t="s">
        <v>102</v>
      </c>
      <c r="D67">
        <v>1</v>
      </c>
      <c r="E67" t="s">
        <v>20</v>
      </c>
      <c r="F67" t="s">
        <v>8</v>
      </c>
      <c r="G67" t="s">
        <v>9</v>
      </c>
      <c r="H67" t="s">
        <v>9</v>
      </c>
      <c r="I67" t="s">
        <v>8</v>
      </c>
      <c r="J67" t="s">
        <v>8</v>
      </c>
      <c r="K67" s="10" t="str">
        <f>IF(OR(G67="Yes", H67="Yes", I67="Yes"), "Problem", "No")</f>
        <v>Problem</v>
      </c>
    </row>
    <row r="68" spans="1:11" x14ac:dyDescent="0.2">
      <c r="A68" t="s">
        <v>5</v>
      </c>
      <c r="B68">
        <v>18</v>
      </c>
      <c r="C68" t="s">
        <v>45</v>
      </c>
      <c r="D68">
        <v>3</v>
      </c>
      <c r="E68" t="s">
        <v>7</v>
      </c>
      <c r="F68" t="s">
        <v>8</v>
      </c>
      <c r="G68" t="s">
        <v>8</v>
      </c>
      <c r="H68" t="s">
        <v>9</v>
      </c>
      <c r="I68" t="s">
        <v>8</v>
      </c>
      <c r="J68" t="s">
        <v>8</v>
      </c>
      <c r="K68" s="10" t="str">
        <f>IF(OR(G68="Yes", H68="Yes", I68="Yes"), "Problem", "No")</f>
        <v>Problem</v>
      </c>
    </row>
    <row r="69" spans="1:11" x14ac:dyDescent="0.2">
      <c r="A69" t="s">
        <v>11</v>
      </c>
      <c r="B69">
        <v>19</v>
      </c>
      <c r="C69" t="s">
        <v>105</v>
      </c>
      <c r="D69">
        <v>3</v>
      </c>
      <c r="E69" t="s">
        <v>7</v>
      </c>
      <c r="F69" t="s">
        <v>9</v>
      </c>
      <c r="G69" t="s">
        <v>9</v>
      </c>
      <c r="H69" t="s">
        <v>8</v>
      </c>
      <c r="I69" t="s">
        <v>9</v>
      </c>
      <c r="J69" t="s">
        <v>8</v>
      </c>
      <c r="K69" s="10" t="str">
        <f>IF(OR(G69="Yes", H69="Yes", I69="Yes"), "Problem", "No")</f>
        <v>Problem</v>
      </c>
    </row>
    <row r="70" spans="1:11" x14ac:dyDescent="0.2">
      <c r="A70" t="s">
        <v>5</v>
      </c>
      <c r="B70">
        <v>18</v>
      </c>
      <c r="C70" t="s">
        <v>107</v>
      </c>
      <c r="D70">
        <v>1</v>
      </c>
      <c r="E70" t="s">
        <v>20</v>
      </c>
      <c r="F70" t="s">
        <v>8</v>
      </c>
      <c r="G70" t="s">
        <v>9</v>
      </c>
      <c r="H70" t="s">
        <v>8</v>
      </c>
      <c r="I70" t="s">
        <v>8</v>
      </c>
      <c r="J70" t="s">
        <v>8</v>
      </c>
      <c r="K70" s="10" t="str">
        <f>IF(OR(G70="Yes", H70="Yes", I70="Yes"), "Problem", "No")</f>
        <v>Problem</v>
      </c>
    </row>
    <row r="71" spans="1:11" x14ac:dyDescent="0.2">
      <c r="A71" t="s">
        <v>5</v>
      </c>
      <c r="B71">
        <v>24</v>
      </c>
      <c r="C71" t="s">
        <v>109</v>
      </c>
      <c r="D71">
        <v>4</v>
      </c>
      <c r="E71" t="s">
        <v>7</v>
      </c>
      <c r="F71" t="s">
        <v>8</v>
      </c>
      <c r="G71" t="s">
        <v>8</v>
      </c>
      <c r="H71" t="s">
        <v>9</v>
      </c>
      <c r="I71" t="s">
        <v>8</v>
      </c>
      <c r="J71" t="s">
        <v>8</v>
      </c>
      <c r="K71" s="10" t="str">
        <f>IF(OR(G71="Yes", H71="Yes", I71="Yes"), "Problem", "No")</f>
        <v>Problem</v>
      </c>
    </row>
    <row r="72" spans="1:11" x14ac:dyDescent="0.2">
      <c r="A72" t="s">
        <v>5</v>
      </c>
      <c r="B72">
        <v>24</v>
      </c>
      <c r="C72" t="s">
        <v>82</v>
      </c>
      <c r="D72">
        <v>1</v>
      </c>
      <c r="E72" t="s">
        <v>7</v>
      </c>
      <c r="F72" t="s">
        <v>8</v>
      </c>
      <c r="G72" t="s">
        <v>8</v>
      </c>
      <c r="H72" t="s">
        <v>8</v>
      </c>
      <c r="I72" t="s">
        <v>8</v>
      </c>
      <c r="J72" t="s">
        <v>8</v>
      </c>
      <c r="K72" s="10" t="str">
        <f>IF(OR(G72="Yes", H72="Yes", I72="Yes"), "Problem", "No")</f>
        <v>No</v>
      </c>
    </row>
    <row r="73" spans="1:11" x14ac:dyDescent="0.2">
      <c r="A73" t="s">
        <v>5</v>
      </c>
      <c r="B73">
        <v>18</v>
      </c>
      <c r="C73" t="s">
        <v>16</v>
      </c>
      <c r="D73">
        <v>3</v>
      </c>
      <c r="E73" t="s">
        <v>20</v>
      </c>
      <c r="F73" t="s">
        <v>8</v>
      </c>
      <c r="G73" t="s">
        <v>8</v>
      </c>
      <c r="H73" t="s">
        <v>8</v>
      </c>
      <c r="I73" t="s">
        <v>9</v>
      </c>
      <c r="J73" t="s">
        <v>8</v>
      </c>
      <c r="K73" s="10" t="str">
        <f>IF(OR(G73="Yes", H73="Yes", I73="Yes"), "Problem", "No")</f>
        <v>Problem</v>
      </c>
    </row>
    <row r="74" spans="1:11" x14ac:dyDescent="0.2">
      <c r="A74" t="s">
        <v>5</v>
      </c>
      <c r="B74">
        <v>19</v>
      </c>
      <c r="C74" t="s">
        <v>14</v>
      </c>
      <c r="D74">
        <v>3</v>
      </c>
      <c r="E74" t="s">
        <v>7</v>
      </c>
      <c r="F74" t="s">
        <v>9</v>
      </c>
      <c r="G74" t="s">
        <v>9</v>
      </c>
      <c r="H74" t="s">
        <v>8</v>
      </c>
      <c r="I74" t="s">
        <v>8</v>
      </c>
      <c r="J74" t="s">
        <v>8</v>
      </c>
      <c r="K74" s="10" t="str">
        <f>IF(OR(G74="Yes", H74="Yes", I74="Yes"), "Problem", "No")</f>
        <v>Problem</v>
      </c>
    </row>
    <row r="75" spans="1:11" x14ac:dyDescent="0.2">
      <c r="A75" t="s">
        <v>11</v>
      </c>
      <c r="B75">
        <v>18</v>
      </c>
      <c r="C75" t="s">
        <v>82</v>
      </c>
      <c r="D75">
        <v>1</v>
      </c>
      <c r="E75" t="s">
        <v>70</v>
      </c>
      <c r="F75" t="s">
        <v>8</v>
      </c>
      <c r="G75" t="s">
        <v>8</v>
      </c>
      <c r="H75" t="s">
        <v>8</v>
      </c>
      <c r="I75" t="s">
        <v>8</v>
      </c>
      <c r="J75" t="s">
        <v>8</v>
      </c>
      <c r="K75" s="10" t="str">
        <f>IF(OR(G75="Yes", H75="Yes", I75="Yes"), "Problem", "No")</f>
        <v>No</v>
      </c>
    </row>
    <row r="76" spans="1:11" x14ac:dyDescent="0.2">
      <c r="A76" t="s">
        <v>11</v>
      </c>
      <c r="B76">
        <v>24</v>
      </c>
      <c r="C76" t="s">
        <v>14</v>
      </c>
      <c r="D76">
        <v>3</v>
      </c>
      <c r="E76" t="s">
        <v>20</v>
      </c>
      <c r="F76" t="s">
        <v>8</v>
      </c>
      <c r="G76" t="s">
        <v>8</v>
      </c>
      <c r="H76" t="s">
        <v>9</v>
      </c>
      <c r="I76" t="s">
        <v>8</v>
      </c>
      <c r="J76" t="s">
        <v>8</v>
      </c>
      <c r="K76" s="10" t="str">
        <f>IF(OR(G76="Yes", H76="Yes", I76="Yes"), "Problem", "No")</f>
        <v>Problem</v>
      </c>
    </row>
    <row r="77" spans="1:11" x14ac:dyDescent="0.2">
      <c r="A77" t="s">
        <v>5</v>
      </c>
      <c r="B77">
        <v>24</v>
      </c>
      <c r="C77" t="s">
        <v>45</v>
      </c>
      <c r="D77">
        <v>1</v>
      </c>
      <c r="E77" t="s">
        <v>20</v>
      </c>
      <c r="F77" t="s">
        <v>8</v>
      </c>
      <c r="G77" t="s">
        <v>8</v>
      </c>
      <c r="H77" t="s">
        <v>9</v>
      </c>
      <c r="I77" t="s">
        <v>9</v>
      </c>
      <c r="J77" t="s">
        <v>8</v>
      </c>
      <c r="K77" s="10" t="str">
        <f>IF(OR(G77="Yes", H77="Yes", I77="Yes"), "Problem", "No")</f>
        <v>Problem</v>
      </c>
    </row>
    <row r="78" spans="1:11" x14ac:dyDescent="0.2">
      <c r="A78" t="s">
        <v>5</v>
      </c>
      <c r="B78">
        <v>23</v>
      </c>
      <c r="C78" t="s">
        <v>6</v>
      </c>
      <c r="D78">
        <v>1</v>
      </c>
      <c r="E78" t="s">
        <v>7</v>
      </c>
      <c r="F78" t="s">
        <v>8</v>
      </c>
      <c r="G78" t="s">
        <v>9</v>
      </c>
      <c r="H78" t="s">
        <v>8</v>
      </c>
      <c r="I78" t="s">
        <v>8</v>
      </c>
      <c r="J78" t="s">
        <v>8</v>
      </c>
      <c r="K78" s="10" t="str">
        <f>IF(OR(G78="Yes", H78="Yes", I78="Yes"), "Problem", "No")</f>
        <v>Problem</v>
      </c>
    </row>
    <row r="79" spans="1:11" x14ac:dyDescent="0.2">
      <c r="A79" t="s">
        <v>5</v>
      </c>
      <c r="B79">
        <v>18</v>
      </c>
      <c r="C79" t="s">
        <v>118</v>
      </c>
      <c r="D79">
        <v>2</v>
      </c>
      <c r="E79" t="s">
        <v>7</v>
      </c>
      <c r="F79" t="s">
        <v>8</v>
      </c>
      <c r="G79" t="s">
        <v>8</v>
      </c>
      <c r="H79" t="s">
        <v>8</v>
      </c>
      <c r="I79" t="s">
        <v>9</v>
      </c>
      <c r="J79" t="s">
        <v>8</v>
      </c>
      <c r="K79" s="10" t="str">
        <f>IF(OR(G79="Yes", H79="Yes", I79="Yes"), "Problem", "No")</f>
        <v>Problem</v>
      </c>
    </row>
    <row r="80" spans="1:11" x14ac:dyDescent="0.2">
      <c r="A80" t="s">
        <v>5</v>
      </c>
      <c r="B80">
        <v>19</v>
      </c>
      <c r="C80" t="s">
        <v>120</v>
      </c>
      <c r="D80">
        <v>3</v>
      </c>
      <c r="E80" t="s">
        <v>70</v>
      </c>
      <c r="F80" t="s">
        <v>8</v>
      </c>
      <c r="G80" t="s">
        <v>8</v>
      </c>
      <c r="H80" t="s">
        <v>8</v>
      </c>
      <c r="I80" t="s">
        <v>8</v>
      </c>
      <c r="J80" t="s">
        <v>8</v>
      </c>
      <c r="K80" s="10" t="str">
        <f>IF(OR(G80="Yes", H80="Yes", I80="Yes"), "Problem", "No")</f>
        <v>No</v>
      </c>
    </row>
    <row r="81" spans="1:11" x14ac:dyDescent="0.2">
      <c r="A81" t="s">
        <v>5</v>
      </c>
      <c r="B81">
        <v>18</v>
      </c>
      <c r="C81" t="s">
        <v>6</v>
      </c>
      <c r="D81">
        <v>4</v>
      </c>
      <c r="E81" t="s">
        <v>20</v>
      </c>
      <c r="F81" t="s">
        <v>8</v>
      </c>
      <c r="G81" t="s">
        <v>8</v>
      </c>
      <c r="H81" t="s">
        <v>8</v>
      </c>
      <c r="I81" t="s">
        <v>8</v>
      </c>
      <c r="J81" t="s">
        <v>8</v>
      </c>
      <c r="K81" s="10" t="str">
        <f>IF(OR(G81="Yes", H81="Yes", I81="Yes"), "Problem", "No")</f>
        <v>No</v>
      </c>
    </row>
    <row r="82" spans="1:11" x14ac:dyDescent="0.2">
      <c r="A82" t="s">
        <v>5</v>
      </c>
      <c r="B82">
        <v>24</v>
      </c>
      <c r="C82" t="s">
        <v>123</v>
      </c>
      <c r="D82">
        <v>2</v>
      </c>
      <c r="E82" t="s">
        <v>20</v>
      </c>
      <c r="F82" t="s">
        <v>9</v>
      </c>
      <c r="G82" t="s">
        <v>9</v>
      </c>
      <c r="H82" t="s">
        <v>9</v>
      </c>
      <c r="I82" t="s">
        <v>9</v>
      </c>
      <c r="J82" t="s">
        <v>8</v>
      </c>
      <c r="K82" s="10" t="str">
        <f>IF(OR(G82="Yes", H82="Yes", I82="Yes"), "Problem", "No")</f>
        <v>Problem</v>
      </c>
    </row>
    <row r="83" spans="1:11" x14ac:dyDescent="0.2">
      <c r="A83" t="s">
        <v>5</v>
      </c>
      <c r="B83">
        <v>24</v>
      </c>
      <c r="C83" t="s">
        <v>125</v>
      </c>
      <c r="D83">
        <v>2</v>
      </c>
      <c r="E83" t="s">
        <v>20</v>
      </c>
      <c r="F83" t="s">
        <v>8</v>
      </c>
      <c r="G83" t="s">
        <v>8</v>
      </c>
      <c r="H83" t="s">
        <v>8</v>
      </c>
      <c r="I83" t="s">
        <v>8</v>
      </c>
      <c r="J83" t="s">
        <v>8</v>
      </c>
      <c r="K83" s="10" t="str">
        <f>IF(OR(G83="Yes", H83="Yes", I83="Yes"), "Problem", "No")</f>
        <v>No</v>
      </c>
    </row>
    <row r="84" spans="1:11" x14ac:dyDescent="0.2">
      <c r="A84" t="s">
        <v>5</v>
      </c>
      <c r="B84">
        <v>19</v>
      </c>
      <c r="C84" t="s">
        <v>6</v>
      </c>
      <c r="D84">
        <v>1</v>
      </c>
      <c r="E84" t="s">
        <v>7</v>
      </c>
      <c r="F84" t="s">
        <v>8</v>
      </c>
      <c r="G84" t="s">
        <v>9</v>
      </c>
      <c r="H84" t="s">
        <v>9</v>
      </c>
      <c r="I84" t="s">
        <v>8</v>
      </c>
      <c r="J84" t="s">
        <v>8</v>
      </c>
      <c r="K84" s="10" t="str">
        <f>IF(OR(G84="Yes", H84="Yes", I84="Yes"), "Problem", "No")</f>
        <v>Problem</v>
      </c>
    </row>
    <row r="85" spans="1:11" x14ac:dyDescent="0.2">
      <c r="A85" t="s">
        <v>5</v>
      </c>
      <c r="B85">
        <v>19</v>
      </c>
      <c r="C85" t="s">
        <v>128</v>
      </c>
      <c r="D85">
        <v>2</v>
      </c>
      <c r="E85" t="s">
        <v>7</v>
      </c>
      <c r="F85" t="s">
        <v>8</v>
      </c>
      <c r="G85" t="s">
        <v>8</v>
      </c>
      <c r="H85" t="s">
        <v>8</v>
      </c>
      <c r="I85" t="s">
        <v>8</v>
      </c>
      <c r="J85" t="s">
        <v>8</v>
      </c>
      <c r="K85" s="10" t="str">
        <f>IF(OR(G85="Yes", H85="Yes", I85="Yes"), "Problem", "No")</f>
        <v>No</v>
      </c>
    </row>
    <row r="86" spans="1:11" x14ac:dyDescent="0.2">
      <c r="A86" t="s">
        <v>11</v>
      </c>
      <c r="B86">
        <v>23</v>
      </c>
      <c r="C86" t="s">
        <v>130</v>
      </c>
      <c r="D86">
        <v>1</v>
      </c>
      <c r="E86" t="s">
        <v>7</v>
      </c>
      <c r="F86" t="s">
        <v>8</v>
      </c>
      <c r="G86" t="s">
        <v>8</v>
      </c>
      <c r="H86" t="s">
        <v>8</v>
      </c>
      <c r="I86" t="s">
        <v>8</v>
      </c>
      <c r="J86" t="s">
        <v>8</v>
      </c>
      <c r="K86" s="10" t="str">
        <f>IF(OR(G86="Yes", H86="Yes", I86="Yes"), "Problem", "No")</f>
        <v>No</v>
      </c>
    </row>
    <row r="87" spans="1:11" x14ac:dyDescent="0.2">
      <c r="A87" t="s">
        <v>5</v>
      </c>
      <c r="B87">
        <v>18</v>
      </c>
      <c r="C87" t="s">
        <v>132</v>
      </c>
      <c r="D87">
        <v>1</v>
      </c>
      <c r="E87" t="s">
        <v>20</v>
      </c>
      <c r="F87" t="s">
        <v>8</v>
      </c>
      <c r="G87" t="s">
        <v>9</v>
      </c>
      <c r="H87" t="s">
        <v>9</v>
      </c>
      <c r="I87" t="s">
        <v>8</v>
      </c>
      <c r="J87" t="s">
        <v>9</v>
      </c>
      <c r="K87" s="10" t="str">
        <f>IF(OR(G87="Yes", H87="Yes", I87="Yes"), "Problem", "No")</f>
        <v>Problem</v>
      </c>
    </row>
    <row r="88" spans="1:11" x14ac:dyDescent="0.2">
      <c r="A88" t="s">
        <v>5</v>
      </c>
      <c r="B88">
        <v>19</v>
      </c>
      <c r="C88" t="s">
        <v>134</v>
      </c>
      <c r="D88">
        <v>3</v>
      </c>
      <c r="E88" t="s">
        <v>7</v>
      </c>
      <c r="F88" t="s">
        <v>8</v>
      </c>
      <c r="G88" t="s">
        <v>8</v>
      </c>
      <c r="H88" t="s">
        <v>8</v>
      </c>
      <c r="I88" t="s">
        <v>8</v>
      </c>
      <c r="J88" t="s">
        <v>8</v>
      </c>
      <c r="K88" s="10" t="str">
        <f>IF(OR(G88="Yes", H88="Yes", I88="Yes"), "Problem", "No")</f>
        <v>No</v>
      </c>
    </row>
    <row r="89" spans="1:11" x14ac:dyDescent="0.2">
      <c r="A89" t="s">
        <v>5</v>
      </c>
      <c r="B89">
        <v>18</v>
      </c>
      <c r="C89" t="s">
        <v>132</v>
      </c>
      <c r="D89">
        <v>1</v>
      </c>
      <c r="E89" t="s">
        <v>20</v>
      </c>
      <c r="F89" t="s">
        <v>8</v>
      </c>
      <c r="G89" t="s">
        <v>9</v>
      </c>
      <c r="H89" t="s">
        <v>9</v>
      </c>
      <c r="I89" t="s">
        <v>9</v>
      </c>
      <c r="J89" t="s">
        <v>8</v>
      </c>
      <c r="K89" s="10" t="str">
        <f>IF(OR(G89="Yes", H89="Yes", I89="Yes"), "Problem", "No")</f>
        <v>Problem</v>
      </c>
    </row>
    <row r="90" spans="1:11" x14ac:dyDescent="0.2">
      <c r="A90" t="s">
        <v>11</v>
      </c>
      <c r="B90">
        <v>24</v>
      </c>
      <c r="C90" t="s">
        <v>14</v>
      </c>
      <c r="D90">
        <v>1</v>
      </c>
      <c r="E90" t="s">
        <v>7</v>
      </c>
      <c r="F90" t="s">
        <v>8</v>
      </c>
      <c r="G90" t="s">
        <v>8</v>
      </c>
      <c r="H90" t="s">
        <v>9</v>
      </c>
      <c r="I90" t="s">
        <v>8</v>
      </c>
      <c r="J90" t="s">
        <v>8</v>
      </c>
      <c r="K90" s="10" t="str">
        <f>IF(OR(G90="Yes", H90="Yes", I90="Yes"), "Problem", "No")</f>
        <v>Problem</v>
      </c>
    </row>
    <row r="91" spans="1:11" x14ac:dyDescent="0.2">
      <c r="A91" t="s">
        <v>11</v>
      </c>
      <c r="B91">
        <v>24</v>
      </c>
      <c r="C91" t="s">
        <v>6</v>
      </c>
      <c r="D91">
        <v>2</v>
      </c>
      <c r="E91" t="s">
        <v>60</v>
      </c>
      <c r="F91" t="s">
        <v>8</v>
      </c>
      <c r="G91" t="s">
        <v>8</v>
      </c>
      <c r="H91" t="s">
        <v>8</v>
      </c>
      <c r="I91" t="s">
        <v>9</v>
      </c>
      <c r="J91" t="s">
        <v>8</v>
      </c>
      <c r="K91" s="10" t="str">
        <f>IF(OR(G91="Yes", H91="Yes", I91="Yes"), "Problem", "No")</f>
        <v>Problem</v>
      </c>
    </row>
    <row r="92" spans="1:11" x14ac:dyDescent="0.2">
      <c r="A92" t="s">
        <v>5</v>
      </c>
      <c r="B92">
        <v>23</v>
      </c>
      <c r="C92" t="s">
        <v>139</v>
      </c>
      <c r="D92">
        <v>3</v>
      </c>
      <c r="E92" t="s">
        <v>20</v>
      </c>
      <c r="F92" t="s">
        <v>8</v>
      </c>
      <c r="G92" t="s">
        <v>8</v>
      </c>
      <c r="H92" t="s">
        <v>8</v>
      </c>
      <c r="I92" t="s">
        <v>9</v>
      </c>
      <c r="J92" t="s">
        <v>8</v>
      </c>
      <c r="K92" s="10" t="str">
        <f>IF(OR(G92="Yes", H92="Yes", I92="Yes"), "Problem", "No")</f>
        <v>Problem</v>
      </c>
    </row>
    <row r="93" spans="1:11" x14ac:dyDescent="0.2">
      <c r="A93" t="s">
        <v>11</v>
      </c>
      <c r="B93">
        <v>18</v>
      </c>
      <c r="C93" t="s">
        <v>141</v>
      </c>
      <c r="D93">
        <v>2</v>
      </c>
      <c r="E93" t="s">
        <v>7</v>
      </c>
      <c r="F93" t="s">
        <v>8</v>
      </c>
      <c r="G93" t="s">
        <v>8</v>
      </c>
      <c r="H93" t="s">
        <v>9</v>
      </c>
      <c r="I93" t="s">
        <v>8</v>
      </c>
      <c r="J93" t="s">
        <v>8</v>
      </c>
      <c r="K93" s="10" t="str">
        <f>IF(OR(G93="Yes", H93="Yes", I93="Yes"), "Problem", "No")</f>
        <v>Problem</v>
      </c>
    </row>
    <row r="94" spans="1:11" x14ac:dyDescent="0.2">
      <c r="A94" t="s">
        <v>5</v>
      </c>
      <c r="B94">
        <v>19</v>
      </c>
      <c r="C94" t="s">
        <v>45</v>
      </c>
      <c r="D94">
        <v>2</v>
      </c>
      <c r="E94" t="s">
        <v>7</v>
      </c>
      <c r="F94" t="s">
        <v>9</v>
      </c>
      <c r="G94" t="s">
        <v>9</v>
      </c>
      <c r="H94" t="s">
        <v>8</v>
      </c>
      <c r="I94" t="s">
        <v>8</v>
      </c>
      <c r="J94" t="s">
        <v>8</v>
      </c>
      <c r="K94" s="10" t="str">
        <f>IF(OR(G94="Yes", H94="Yes", I94="Yes"), "Problem", "No")</f>
        <v>Problem</v>
      </c>
    </row>
    <row r="95" spans="1:11" x14ac:dyDescent="0.2">
      <c r="A95" t="s">
        <v>5</v>
      </c>
      <c r="B95">
        <v>18</v>
      </c>
      <c r="C95" t="s">
        <v>90</v>
      </c>
      <c r="D95">
        <v>1</v>
      </c>
      <c r="E95" t="s">
        <v>7</v>
      </c>
      <c r="F95" t="s">
        <v>8</v>
      </c>
      <c r="G95" t="s">
        <v>9</v>
      </c>
      <c r="H95" t="s">
        <v>8</v>
      </c>
      <c r="I95" t="s">
        <v>8</v>
      </c>
      <c r="J95" t="s">
        <v>8</v>
      </c>
      <c r="K95" s="10" t="str">
        <f>IF(OR(G95="Yes", H95="Yes", I95="Yes"), "Problem", "No")</f>
        <v>Problem</v>
      </c>
    </row>
    <row r="96" spans="1:11" x14ac:dyDescent="0.2">
      <c r="A96" t="s">
        <v>5</v>
      </c>
      <c r="B96">
        <v>24</v>
      </c>
      <c r="C96" t="s">
        <v>145</v>
      </c>
      <c r="D96">
        <v>3</v>
      </c>
      <c r="E96" t="s">
        <v>70</v>
      </c>
      <c r="F96" t="s">
        <v>8</v>
      </c>
      <c r="G96" t="s">
        <v>8</v>
      </c>
      <c r="H96" t="s">
        <v>8</v>
      </c>
      <c r="I96" t="s">
        <v>9</v>
      </c>
      <c r="J96" t="s">
        <v>8</v>
      </c>
      <c r="K96" s="10" t="str">
        <f>IF(OR(G96="Yes", H96="Yes", I96="Yes"), "Problem", "No")</f>
        <v>Problem</v>
      </c>
    </row>
    <row r="97" spans="1:11" x14ac:dyDescent="0.2">
      <c r="A97" t="s">
        <v>5</v>
      </c>
      <c r="B97">
        <v>18</v>
      </c>
      <c r="C97" t="s">
        <v>147</v>
      </c>
      <c r="D97">
        <v>1</v>
      </c>
      <c r="E97" t="s">
        <v>20</v>
      </c>
      <c r="F97" t="s">
        <v>8</v>
      </c>
      <c r="G97" t="s">
        <v>8</v>
      </c>
      <c r="H97" t="s">
        <v>8</v>
      </c>
      <c r="I97" t="s">
        <v>8</v>
      </c>
      <c r="J97" t="s">
        <v>8</v>
      </c>
      <c r="K97" s="10" t="str">
        <f>IF(OR(G97="Yes", H97="Yes", I97="Yes"), "Problem", "No")</f>
        <v>No</v>
      </c>
    </row>
    <row r="98" spans="1:11" x14ac:dyDescent="0.2">
      <c r="A98" t="s">
        <v>5</v>
      </c>
      <c r="B98">
        <v>21</v>
      </c>
      <c r="C98" t="s">
        <v>25</v>
      </c>
      <c r="D98">
        <v>1</v>
      </c>
      <c r="E98" t="s">
        <v>20</v>
      </c>
      <c r="F98" t="s">
        <v>8</v>
      </c>
      <c r="G98" t="s">
        <v>8</v>
      </c>
      <c r="H98" t="s">
        <v>9</v>
      </c>
      <c r="I98" t="s">
        <v>8</v>
      </c>
      <c r="J98" t="s">
        <v>8</v>
      </c>
      <c r="K98" s="10" t="str">
        <f>IF(OR(G98="Yes", H98="Yes", I98="Yes"), "Problem", "No")</f>
        <v>Problem</v>
      </c>
    </row>
    <row r="99" spans="1:11" x14ac:dyDescent="0.2">
      <c r="A99" t="s">
        <v>11</v>
      </c>
      <c r="B99">
        <v>18</v>
      </c>
      <c r="C99" t="s">
        <v>6</v>
      </c>
      <c r="D99">
        <v>2</v>
      </c>
      <c r="E99" t="s">
        <v>7</v>
      </c>
      <c r="F99" t="s">
        <v>8</v>
      </c>
      <c r="G99" t="s">
        <v>9</v>
      </c>
      <c r="H99" t="s">
        <v>9</v>
      </c>
      <c r="I99" t="s">
        <v>8</v>
      </c>
      <c r="J99" t="s">
        <v>8</v>
      </c>
      <c r="K99" s="10" t="str">
        <f>IF(OR(G99="Yes", H99="Yes", I99="Yes"), "Problem", "No")</f>
        <v>Problem</v>
      </c>
    </row>
    <row r="100" spans="1:11" x14ac:dyDescent="0.2">
      <c r="A100" t="s">
        <v>5</v>
      </c>
      <c r="B100">
        <v>19</v>
      </c>
      <c r="C100" t="s">
        <v>151</v>
      </c>
      <c r="D100">
        <v>3</v>
      </c>
      <c r="E100" t="s">
        <v>20</v>
      </c>
      <c r="F100" t="s">
        <v>9</v>
      </c>
      <c r="G100" t="s">
        <v>9</v>
      </c>
      <c r="H100" t="s">
        <v>8</v>
      </c>
      <c r="I100" t="s">
        <v>9</v>
      </c>
      <c r="J100" t="s">
        <v>8</v>
      </c>
      <c r="K100" s="10" t="str">
        <f>IF(OR(G100="Yes", H100="Yes", I100="Yes"), "Problem", "No")</f>
        <v>Problem</v>
      </c>
    </row>
    <row r="101" spans="1:11" x14ac:dyDescent="0.2">
      <c r="A101" t="s">
        <v>5</v>
      </c>
      <c r="B101">
        <v>23</v>
      </c>
      <c r="C101" t="s">
        <v>153</v>
      </c>
      <c r="D101">
        <v>4</v>
      </c>
      <c r="E101" t="s">
        <v>20</v>
      </c>
      <c r="F101" t="s">
        <v>8</v>
      </c>
      <c r="G101" t="s">
        <v>8</v>
      </c>
      <c r="H101" t="s">
        <v>8</v>
      </c>
      <c r="I101" t="s">
        <v>8</v>
      </c>
      <c r="J101" t="s">
        <v>8</v>
      </c>
      <c r="K101" s="10" t="str">
        <f>IF(OR(G101="Yes", H101="Yes", I101="Yes"), "Problem", "No")</f>
        <v>No</v>
      </c>
    </row>
    <row r="102" spans="1:11" x14ac:dyDescent="0.2">
      <c r="A102" t="s">
        <v>11</v>
      </c>
      <c r="B102">
        <v>20</v>
      </c>
      <c r="C102" t="s">
        <v>82</v>
      </c>
      <c r="D102">
        <v>2</v>
      </c>
      <c r="E102" t="s">
        <v>7</v>
      </c>
      <c r="F102" t="s">
        <v>8</v>
      </c>
      <c r="G102" t="s">
        <v>8</v>
      </c>
      <c r="H102" t="s">
        <v>8</v>
      </c>
      <c r="I102" t="s">
        <v>8</v>
      </c>
      <c r="J102" t="s">
        <v>8</v>
      </c>
      <c r="K102" s="10" t="str">
        <f>IF(OR(G102="Yes", H102="Yes", I102="Yes"), "Problem", "No")</f>
        <v>No</v>
      </c>
    </row>
  </sheetData>
  <conditionalFormatting sqref="B1:B1048576">
    <cfRule type="colorScale" priority="3">
      <colorScale>
        <cfvo type="min"/>
        <cfvo type="percentile" val="50"/>
        <cfvo type="max"/>
        <color rgb="FF63BE7B"/>
        <color rgb="FFFFEB84"/>
        <color rgb="FFF8696B"/>
      </colorScale>
    </cfRule>
  </conditionalFormatting>
  <conditionalFormatting sqref="E1:E1048576">
    <cfRule type="colorScale" priority="1">
      <colorScale>
        <cfvo type="min"/>
        <cfvo type="percentile" val="50"/>
        <cfvo type="max"/>
        <color rgb="FFF8696B"/>
        <color rgb="FFFFEB84"/>
        <color rgb="FF63BE7B"/>
      </colorScale>
    </cfRule>
    <cfRule type="dataBar" priority="2">
      <dataBar>
        <cfvo type="min"/>
        <cfvo type="max"/>
        <color rgb="FF63C384"/>
      </dataBar>
      <extLst>
        <ext xmlns:x14="http://schemas.microsoft.com/office/spreadsheetml/2009/9/main" uri="{B025F937-C7B1-47D3-B67F-A62EFF666E3E}">
          <x14:id>{6726DFFE-966E-EF4C-A476-EFC9D7062B8F}</x14:id>
        </ext>
      </extLst>
    </cfRule>
    <cfRule type="top10" dxfId="1" priority="6" percent="1" rank="10"/>
    <cfRule type="top10" dxfId="0" priority="7" rank="10"/>
  </conditionalFormatting>
  <conditionalFormatting sqref="E1:E102">
    <cfRule type="colorScale" priority="15">
      <colorScale>
        <cfvo type="min"/>
        <cfvo type="percentile" val="50"/>
        <cfvo type="max"/>
        <color rgb="FF63BE7B"/>
        <color rgb="FFFFEB84"/>
        <color rgb="FFF8696B"/>
      </colorScale>
    </cfRule>
  </conditionalFormatting>
  <conditionalFormatting sqref="J1:K1">
    <cfRule type="dataBar" priority="29">
      <dataBar>
        <cfvo type="min"/>
        <cfvo type="max"/>
        <color rgb="FF63C384"/>
      </dataBar>
      <extLst>
        <ext xmlns:x14="http://schemas.microsoft.com/office/spreadsheetml/2009/9/main" uri="{B025F937-C7B1-47D3-B67F-A62EFF666E3E}">
          <x14:id>{98A8B866-5B48-9C4D-90D2-DF94D7457D1D}</x14:id>
        </ext>
      </extLst>
    </cfRule>
  </conditionalFormatting>
  <pageMargins left="0.7" right="0.7" top="0.75" bottom="0.75" header="0.3" footer="0.3"/>
  <pageSetup orientation="portrait" horizontalDpi="0" verticalDpi="0"/>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726DFFE-966E-EF4C-A476-EFC9D7062B8F}">
            <x14:dataBar minLength="0" maxLength="100" border="1" negativeBarBorderColorSameAsPositive="0">
              <x14:cfvo type="autoMin"/>
              <x14:cfvo type="autoMax"/>
              <x14:borderColor rgb="FF63C384"/>
              <x14:negativeFillColor rgb="FFFF0000"/>
              <x14:negativeBorderColor rgb="FFFF0000"/>
              <x14:axisColor rgb="FF000000"/>
            </x14:dataBar>
          </x14:cfRule>
          <xm:sqref>E1:E1048576</xm:sqref>
        </x14:conditionalFormatting>
        <x14:conditionalFormatting xmlns:xm="http://schemas.microsoft.com/office/excel/2006/main">
          <x14:cfRule type="dataBar" id="{98A8B866-5B48-9C4D-90D2-DF94D7457D1D}">
            <x14:dataBar minLength="0" maxLength="100" border="1" negativeBarBorderColorSameAsPositive="0">
              <x14:cfvo type="autoMin"/>
              <x14:cfvo type="autoMax"/>
              <x14:borderColor rgb="FF63C384"/>
              <x14:negativeFillColor rgb="FFFF0000"/>
              <x14:negativeBorderColor rgb="FFFF0000"/>
              <x14:axisColor rgb="FF000000"/>
            </x14:dataBar>
          </x14:cfRule>
          <xm:sqref>J1:K1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9F9F2-E840-B44A-99EE-B0C2201C3489}">
  <sheetPr>
    <tabColor theme="4"/>
  </sheetPr>
  <dimension ref="E10:F11"/>
  <sheetViews>
    <sheetView showGridLines="0" tabSelected="1" topLeftCell="A2" zoomScaleNormal="100" workbookViewId="0">
      <selection activeCell="R13" sqref="R13"/>
    </sheetView>
  </sheetViews>
  <sheetFormatPr baseColWidth="10" defaultRowHeight="16" x14ac:dyDescent="0.2"/>
  <sheetData>
    <row r="10" spans="5:6" x14ac:dyDescent="0.2">
      <c r="E10" s="13"/>
      <c r="F10" s="13"/>
    </row>
    <row r="11" spans="5:6" x14ac:dyDescent="0.2">
      <c r="E11" s="13"/>
      <c r="F11" s="13"/>
    </row>
  </sheetData>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377B42-1F69-674F-B6EA-FAE9933C3A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Student Mental health</vt:lpstr>
      <vt:lpstr>Depression</vt:lpstr>
      <vt:lpstr>CGPA, years</vt:lpstr>
      <vt:lpstr>Age, gender</vt:lpstr>
      <vt:lpstr>Course distribution</vt:lpstr>
      <vt:lpstr>Mental disorders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Viacheslav Kapkanets</dc:creator>
  <cp:lastModifiedBy>Viacheslav Kapkanets</cp:lastModifiedBy>
  <dcterms:created xsi:type="dcterms:W3CDTF">2025-11-09T01:41:07Z</dcterms:created>
  <dcterms:modified xsi:type="dcterms:W3CDTF">2025-11-19T02:44:29Z</dcterms:modified>
</cp:coreProperties>
</file>